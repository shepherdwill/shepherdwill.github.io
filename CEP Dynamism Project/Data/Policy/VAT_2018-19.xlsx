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eidle/Dropbox/Dan dropbox files/tax policy associates/"/>
    </mc:Choice>
  </mc:AlternateContent>
  <xr:revisionPtr revIDLastSave="0" documentId="13_ncr:1_{58B2951B-4944-8046-B4E5-CE1E8860AF3B}" xr6:coauthVersionLast="47" xr6:coauthVersionMax="47" xr10:uidLastSave="{00000000-0000-0000-0000-000000000000}"/>
  <bookViews>
    <workbookView xWindow="5980" yWindow="2800" windowWidth="27240" windowHeight="16440" activeTab="1" xr2:uid="{8E52A057-8DC2-4148-8F93-C51987372858}"/>
  </bookViews>
  <sheets>
    <sheet name="all" sheetId="3" r:id="rId1"/>
    <sheet name="66-96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Q6" i="2"/>
  <c r="P6" i="2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19" i="2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F19" i="2"/>
  <c r="F20" i="2" s="1"/>
  <c r="F21" i="2" s="1"/>
  <c r="E5" i="2"/>
  <c r="D5" i="2"/>
  <c r="C5" i="2"/>
  <c r="K3" i="2"/>
  <c r="L3" i="2"/>
  <c r="K4" i="2"/>
  <c r="L4" i="2"/>
  <c r="J4" i="2"/>
  <c r="J3" i="2"/>
  <c r="J5" i="2" s="1"/>
  <c r="H5" i="2" l="1"/>
  <c r="G5" i="2"/>
  <c r="P5" i="2"/>
  <c r="F22" i="2"/>
  <c r="F23" i="2" s="1"/>
  <c r="F24" i="2" s="1"/>
  <c r="F25" i="2" s="1"/>
  <c r="F26" i="2" s="1"/>
  <c r="F27" i="2" s="1"/>
  <c r="L5" i="2"/>
  <c r="K5" i="2"/>
  <c r="F28" i="2" l="1"/>
  <c r="F29" i="2" s="1"/>
  <c r="F30" i="2" s="1"/>
  <c r="F31" i="2" s="1"/>
  <c r="F32" i="2" s="1"/>
  <c r="F33" i="2" s="1"/>
  <c r="F34" i="2" s="1"/>
  <c r="F35" i="2" s="1"/>
  <c r="F36" i="2" s="1"/>
  <c r="F37" i="2" s="1"/>
  <c r="O6" i="2"/>
  <c r="Q5" i="2"/>
  <c r="O5" i="2"/>
  <c r="F5" i="2"/>
</calcChain>
</file>

<file path=xl/sharedStrings.xml><?xml version="1.0" encoding="utf-8"?>
<sst xmlns="http://schemas.openxmlformats.org/spreadsheetml/2006/main" count="202" uniqueCount="162">
  <si>
    <t>Number of traders by turnover</t>
  </si>
  <si>
    <t>Tax year</t>
  </si>
  <si>
    <t>2018-19</t>
  </si>
  <si>
    <t>Turnover</t>
  </si>
  <si>
    <t>Sole Traders</t>
  </si>
  <si>
    <t>Partnerships</t>
  </si>
  <si>
    <t>Companies</t>
  </si>
  <si>
    <t>£10-11k</t>
  </si>
  <si>
    <t>£11-12k</t>
  </si>
  <si>
    <t>£12-13k</t>
  </si>
  <si>
    <t>£13-14k</t>
  </si>
  <si>
    <t>£14-15k</t>
  </si>
  <si>
    <t>£15-16k</t>
  </si>
  <si>
    <t>£16-17k</t>
  </si>
  <si>
    <t>£17-18k</t>
  </si>
  <si>
    <t>£18-19k</t>
  </si>
  <si>
    <t>£19-20k</t>
  </si>
  <si>
    <t>£20-21k</t>
  </si>
  <si>
    <t>£21-22k</t>
  </si>
  <si>
    <t>£22-23k</t>
  </si>
  <si>
    <t>£23-24k</t>
  </si>
  <si>
    <t>£24-25k</t>
  </si>
  <si>
    <t>£25-26k</t>
  </si>
  <si>
    <t>£26-27k</t>
  </si>
  <si>
    <t>£27-28k</t>
  </si>
  <si>
    <t>£28-29k</t>
  </si>
  <si>
    <t>£29-30k</t>
  </si>
  <si>
    <t>£30-31k</t>
  </si>
  <si>
    <t>£31-32k</t>
  </si>
  <si>
    <t>£32-33k</t>
  </si>
  <si>
    <t>£33-34k</t>
  </si>
  <si>
    <t>£34-35k</t>
  </si>
  <si>
    <t>£35-36k</t>
  </si>
  <si>
    <t>£36-37k</t>
  </si>
  <si>
    <t>£37-38k</t>
  </si>
  <si>
    <t>£38-39k</t>
  </si>
  <si>
    <t>£39-40k</t>
  </si>
  <si>
    <t>£40-41k</t>
  </si>
  <si>
    <t>£41-42k</t>
  </si>
  <si>
    <t>£42-43k</t>
  </si>
  <si>
    <t>£43-44k</t>
  </si>
  <si>
    <t>£44-45k</t>
  </si>
  <si>
    <t>£45-46k</t>
  </si>
  <si>
    <t>£46-47k</t>
  </si>
  <si>
    <t>£47-48k</t>
  </si>
  <si>
    <t>£48-49k</t>
  </si>
  <si>
    <t>£49-50k</t>
  </si>
  <si>
    <t>£50-51k</t>
  </si>
  <si>
    <t>£51-52k</t>
  </si>
  <si>
    <t>£52-53k</t>
  </si>
  <si>
    <t>£53-54k</t>
  </si>
  <si>
    <t>£54-55k</t>
  </si>
  <si>
    <t>£55-56k</t>
  </si>
  <si>
    <t>£56-57k</t>
  </si>
  <si>
    <t>£57-58k</t>
  </si>
  <si>
    <t>£58-59k</t>
  </si>
  <si>
    <t>£59-60k</t>
  </si>
  <si>
    <t>£60-61k</t>
  </si>
  <si>
    <t>£61-62k</t>
  </si>
  <si>
    <t>£62-63k</t>
  </si>
  <si>
    <t>£63-64k</t>
  </si>
  <si>
    <t>£64-65k</t>
  </si>
  <si>
    <t>£65-66k</t>
  </si>
  <si>
    <t>£66-67k</t>
  </si>
  <si>
    <t>£67-68k</t>
  </si>
  <si>
    <t>£68-69k</t>
  </si>
  <si>
    <t>£69-70k</t>
  </si>
  <si>
    <t>£70-71k</t>
  </si>
  <si>
    <t>£71-72k</t>
  </si>
  <si>
    <t>£72-73k</t>
  </si>
  <si>
    <t>£73-74k</t>
  </si>
  <si>
    <t>£74-75k</t>
  </si>
  <si>
    <t>£75-76k</t>
  </si>
  <si>
    <t>£76-77k</t>
  </si>
  <si>
    <t>£77-78k</t>
  </si>
  <si>
    <t>£78-79k</t>
  </si>
  <si>
    <t>£79-80k</t>
  </si>
  <si>
    <t>£80-81k</t>
  </si>
  <si>
    <t>£81-82k</t>
  </si>
  <si>
    <t>£82-83k</t>
  </si>
  <si>
    <t>£83-84k</t>
  </si>
  <si>
    <t>£84-85k</t>
  </si>
  <si>
    <t>£85-86k</t>
  </si>
  <si>
    <t>£86-87k</t>
  </si>
  <si>
    <t>£87-88k</t>
  </si>
  <si>
    <t>£88-89k</t>
  </si>
  <si>
    <t>£89-90k</t>
  </si>
  <si>
    <t>£90-91k</t>
  </si>
  <si>
    <t>£91-92k</t>
  </si>
  <si>
    <t>£92-93k</t>
  </si>
  <si>
    <t>£93-94k</t>
  </si>
  <si>
    <t>£94-95k</t>
  </si>
  <si>
    <t>£95-96k</t>
  </si>
  <si>
    <t>£96-97k</t>
  </si>
  <si>
    <t>£97-98k</t>
  </si>
  <si>
    <t>£98-99k</t>
  </si>
  <si>
    <t>£99-100k</t>
  </si>
  <si>
    <t>£100-101k</t>
  </si>
  <si>
    <t>£101-102k</t>
  </si>
  <si>
    <t>£102-103k</t>
  </si>
  <si>
    <t>£103-104k</t>
  </si>
  <si>
    <t>£104-105k</t>
  </si>
  <si>
    <t>£105-106k</t>
  </si>
  <si>
    <t>£106-107k</t>
  </si>
  <si>
    <t>£107-108k</t>
  </si>
  <si>
    <t>£108-109k</t>
  </si>
  <si>
    <t>£109-110k</t>
  </si>
  <si>
    <t>£110-111k</t>
  </si>
  <si>
    <t>£111-112k</t>
  </si>
  <si>
    <t>£112-113k</t>
  </si>
  <si>
    <t>£113-114k</t>
  </si>
  <si>
    <t>£114-115k</t>
  </si>
  <si>
    <t>£115-116k</t>
  </si>
  <si>
    <t>£116-117k</t>
  </si>
  <si>
    <t>£117-118k</t>
  </si>
  <si>
    <t>£118-119k</t>
  </si>
  <si>
    <t>£119-120k</t>
  </si>
  <si>
    <t>£120-121k</t>
  </si>
  <si>
    <t>£121-122k</t>
  </si>
  <si>
    <t>£122-123k</t>
  </si>
  <si>
    <t>£123-124k</t>
  </si>
  <si>
    <t>£124-125k</t>
  </si>
  <si>
    <t>£125-126k</t>
  </si>
  <si>
    <t>£126-127k</t>
  </si>
  <si>
    <t>£127-128k</t>
  </si>
  <si>
    <t>£128-129k</t>
  </si>
  <si>
    <t>£129-130k</t>
  </si>
  <si>
    <t>£130-131k</t>
  </si>
  <si>
    <t>£131-132k</t>
  </si>
  <si>
    <t>£132-133k</t>
  </si>
  <si>
    <t>£133-134k</t>
  </si>
  <si>
    <t>£134-135k</t>
  </si>
  <si>
    <t>£135-136k</t>
  </si>
  <si>
    <t>£136-137k</t>
  </si>
  <si>
    <t>£137-138k</t>
  </si>
  <si>
    <t>£138-139k</t>
  </si>
  <si>
    <t>£139-140k</t>
  </si>
  <si>
    <t>£140-141k</t>
  </si>
  <si>
    <t>£141-142k</t>
  </si>
  <si>
    <t>£142-143k</t>
  </si>
  <si>
    <t>£143-144k</t>
  </si>
  <si>
    <t>£144-145k</t>
  </si>
  <si>
    <t>£145-146k</t>
  </si>
  <si>
    <t>£146-147k</t>
  </si>
  <si>
    <t>£147-148k</t>
  </si>
  <si>
    <t>£148-149k</t>
  </si>
  <si>
    <t>£149-150k</t>
  </si>
  <si>
    <t>Average 75-85</t>
  </si>
  <si>
    <t>average 85-95</t>
  </si>
  <si>
    <t xml:space="preserve">         </t>
  </si>
  <si>
    <t>SUM:</t>
  </si>
  <si>
    <t>Band</t>
  </si>
  <si>
    <t>Modelling</t>
  </si>
  <si>
    <t>sole traders</t>
  </si>
  <si>
    <t>companies</t>
  </si>
  <si>
    <t>linear decline</t>
  </si>
  <si>
    <t>stalled businesses</t>
  </si>
  <si>
    <t>partnerships</t>
  </si>
  <si>
    <t>Pships extrap</t>
  </si>
  <si>
    <t>STs extrap</t>
  </si>
  <si>
    <t>Cs extrap</t>
  </si>
  <si>
    <t>missing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</si>
</sst>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  <xf numFmtId="164" fontId="2" fillId="0" borderId="0" xfId="0" applyNumberFormat="1" applyFont="1"/>
    <xf numFmtId="164" fontId="2" fillId="0" borderId="0" xfId="1" applyNumberFormat="1" applyFont="1"/>
    <xf numFmtId="164" fontId="1" fillId="0" borderId="0" xfId="1" applyNumberFormat="1" applyFont="1"/>
    <xf numFmtId="0" fontId="2" fillId="0" borderId="0" xfId="0" applyFont="1" applyAlignment="1">
      <alignment horizontal="right"/>
    </xf>
    <xf numFmtId="164" fontId="2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Number</a:t>
            </a:r>
            <a:r>
              <a:rPr lang="en-GB" b="1" baseline="0"/>
              <a:t> of businesses by turnover band around the registration threshold, 2018-19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Sole Traders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all!$A$5:$A$144</c:f>
              <c:strCache>
                <c:ptCount val="140"/>
                <c:pt idx="0">
                  <c:v>£10-11k</c:v>
                </c:pt>
                <c:pt idx="1">
                  <c:v>£11-12k</c:v>
                </c:pt>
                <c:pt idx="2">
                  <c:v>£12-13k</c:v>
                </c:pt>
                <c:pt idx="3">
                  <c:v>£13-14k</c:v>
                </c:pt>
                <c:pt idx="4">
                  <c:v>£14-15k</c:v>
                </c:pt>
                <c:pt idx="5">
                  <c:v>£15-16k</c:v>
                </c:pt>
                <c:pt idx="6">
                  <c:v>£16-17k</c:v>
                </c:pt>
                <c:pt idx="7">
                  <c:v>£17-18k</c:v>
                </c:pt>
                <c:pt idx="8">
                  <c:v>£18-19k</c:v>
                </c:pt>
                <c:pt idx="9">
                  <c:v>£19-20k</c:v>
                </c:pt>
                <c:pt idx="10">
                  <c:v>£20-21k</c:v>
                </c:pt>
                <c:pt idx="11">
                  <c:v>£21-22k</c:v>
                </c:pt>
                <c:pt idx="12">
                  <c:v>£22-23k</c:v>
                </c:pt>
                <c:pt idx="13">
                  <c:v>£23-24k</c:v>
                </c:pt>
                <c:pt idx="14">
                  <c:v>£24-25k</c:v>
                </c:pt>
                <c:pt idx="15">
                  <c:v>£25-26k</c:v>
                </c:pt>
                <c:pt idx="16">
                  <c:v>£26-27k</c:v>
                </c:pt>
                <c:pt idx="17">
                  <c:v>£27-28k</c:v>
                </c:pt>
                <c:pt idx="18">
                  <c:v>£28-29k</c:v>
                </c:pt>
                <c:pt idx="19">
                  <c:v>£29-30k</c:v>
                </c:pt>
                <c:pt idx="20">
                  <c:v>£30-31k</c:v>
                </c:pt>
                <c:pt idx="21">
                  <c:v>£31-32k</c:v>
                </c:pt>
                <c:pt idx="22">
                  <c:v>£32-33k</c:v>
                </c:pt>
                <c:pt idx="23">
                  <c:v>£33-34k</c:v>
                </c:pt>
                <c:pt idx="24">
                  <c:v>£34-35k</c:v>
                </c:pt>
                <c:pt idx="25">
                  <c:v>£35-36k</c:v>
                </c:pt>
                <c:pt idx="26">
                  <c:v>£36-37k</c:v>
                </c:pt>
                <c:pt idx="27">
                  <c:v>£37-38k</c:v>
                </c:pt>
                <c:pt idx="28">
                  <c:v>£38-39k</c:v>
                </c:pt>
                <c:pt idx="29">
                  <c:v>£39-40k</c:v>
                </c:pt>
                <c:pt idx="30">
                  <c:v>£40-41k</c:v>
                </c:pt>
                <c:pt idx="31">
                  <c:v>£41-42k</c:v>
                </c:pt>
                <c:pt idx="32">
                  <c:v>£42-43k</c:v>
                </c:pt>
                <c:pt idx="33">
                  <c:v>£43-44k</c:v>
                </c:pt>
                <c:pt idx="34">
                  <c:v>£44-45k</c:v>
                </c:pt>
                <c:pt idx="35">
                  <c:v>£45-46k</c:v>
                </c:pt>
                <c:pt idx="36">
                  <c:v>£46-47k</c:v>
                </c:pt>
                <c:pt idx="37">
                  <c:v>£47-48k</c:v>
                </c:pt>
                <c:pt idx="38">
                  <c:v>£48-49k</c:v>
                </c:pt>
                <c:pt idx="39">
                  <c:v>£49-50k</c:v>
                </c:pt>
                <c:pt idx="40">
                  <c:v>£50-51k</c:v>
                </c:pt>
                <c:pt idx="41">
                  <c:v>£51-52k</c:v>
                </c:pt>
                <c:pt idx="42">
                  <c:v>£52-53k</c:v>
                </c:pt>
                <c:pt idx="43">
                  <c:v>£53-54k</c:v>
                </c:pt>
                <c:pt idx="44">
                  <c:v>£54-55k</c:v>
                </c:pt>
                <c:pt idx="45">
                  <c:v>£55-56k</c:v>
                </c:pt>
                <c:pt idx="46">
                  <c:v>£56-57k</c:v>
                </c:pt>
                <c:pt idx="47">
                  <c:v>£57-58k</c:v>
                </c:pt>
                <c:pt idx="48">
                  <c:v>£58-59k</c:v>
                </c:pt>
                <c:pt idx="49">
                  <c:v>£59-60k</c:v>
                </c:pt>
                <c:pt idx="50">
                  <c:v>£60-61k</c:v>
                </c:pt>
                <c:pt idx="51">
                  <c:v>£61-62k</c:v>
                </c:pt>
                <c:pt idx="52">
                  <c:v>£62-63k</c:v>
                </c:pt>
                <c:pt idx="53">
                  <c:v>£63-64k</c:v>
                </c:pt>
                <c:pt idx="54">
                  <c:v>£64-65k</c:v>
                </c:pt>
                <c:pt idx="55">
                  <c:v>£65-66k</c:v>
                </c:pt>
                <c:pt idx="56">
                  <c:v>£66-67k</c:v>
                </c:pt>
                <c:pt idx="57">
                  <c:v>£67-68k</c:v>
                </c:pt>
                <c:pt idx="58">
                  <c:v>£68-69k</c:v>
                </c:pt>
                <c:pt idx="59">
                  <c:v>£69-70k</c:v>
                </c:pt>
                <c:pt idx="60">
                  <c:v>£70-71k</c:v>
                </c:pt>
                <c:pt idx="61">
                  <c:v>£71-72k</c:v>
                </c:pt>
                <c:pt idx="62">
                  <c:v>£72-73k</c:v>
                </c:pt>
                <c:pt idx="63">
                  <c:v>£73-74k</c:v>
                </c:pt>
                <c:pt idx="64">
                  <c:v>£74-75k</c:v>
                </c:pt>
                <c:pt idx="65">
                  <c:v>£75-76k</c:v>
                </c:pt>
                <c:pt idx="66">
                  <c:v>£76-77k</c:v>
                </c:pt>
                <c:pt idx="67">
                  <c:v>£77-78k</c:v>
                </c:pt>
                <c:pt idx="68">
                  <c:v>£78-79k</c:v>
                </c:pt>
                <c:pt idx="69">
                  <c:v>£79-80k</c:v>
                </c:pt>
                <c:pt idx="70">
                  <c:v>£80-81k</c:v>
                </c:pt>
                <c:pt idx="71">
                  <c:v>£81-82k</c:v>
                </c:pt>
                <c:pt idx="72">
                  <c:v>£82-83k</c:v>
                </c:pt>
                <c:pt idx="73">
                  <c:v>£83-84k</c:v>
                </c:pt>
                <c:pt idx="74">
                  <c:v>£84-85k</c:v>
                </c:pt>
                <c:pt idx="75">
                  <c:v>£85-86k</c:v>
                </c:pt>
                <c:pt idx="76">
                  <c:v>£86-87k</c:v>
                </c:pt>
                <c:pt idx="77">
                  <c:v>£87-88k</c:v>
                </c:pt>
                <c:pt idx="78">
                  <c:v>£88-89k</c:v>
                </c:pt>
                <c:pt idx="79">
                  <c:v>£89-90k</c:v>
                </c:pt>
                <c:pt idx="80">
                  <c:v>£90-91k</c:v>
                </c:pt>
                <c:pt idx="81">
                  <c:v>£91-92k</c:v>
                </c:pt>
                <c:pt idx="82">
                  <c:v>£92-93k</c:v>
                </c:pt>
                <c:pt idx="83">
                  <c:v>£93-94k</c:v>
                </c:pt>
                <c:pt idx="84">
                  <c:v>£94-95k</c:v>
                </c:pt>
                <c:pt idx="85">
                  <c:v>£95-96k</c:v>
                </c:pt>
                <c:pt idx="86">
                  <c:v>£96-97k</c:v>
                </c:pt>
                <c:pt idx="87">
                  <c:v>£97-98k</c:v>
                </c:pt>
                <c:pt idx="88">
                  <c:v>£98-99k</c:v>
                </c:pt>
                <c:pt idx="89">
                  <c:v>£99-100k</c:v>
                </c:pt>
                <c:pt idx="90">
                  <c:v>£100-101k</c:v>
                </c:pt>
                <c:pt idx="91">
                  <c:v>£101-102k</c:v>
                </c:pt>
                <c:pt idx="92">
                  <c:v>£102-103k</c:v>
                </c:pt>
                <c:pt idx="93">
                  <c:v>£103-104k</c:v>
                </c:pt>
                <c:pt idx="94">
                  <c:v>£104-105k</c:v>
                </c:pt>
                <c:pt idx="95">
                  <c:v>£105-106k</c:v>
                </c:pt>
                <c:pt idx="96">
                  <c:v>£106-107k</c:v>
                </c:pt>
                <c:pt idx="97">
                  <c:v>£107-108k</c:v>
                </c:pt>
                <c:pt idx="98">
                  <c:v>£108-109k</c:v>
                </c:pt>
                <c:pt idx="99">
                  <c:v>£109-110k</c:v>
                </c:pt>
                <c:pt idx="100">
                  <c:v>£110-111k</c:v>
                </c:pt>
                <c:pt idx="101">
                  <c:v>£111-112k</c:v>
                </c:pt>
                <c:pt idx="102">
                  <c:v>£112-113k</c:v>
                </c:pt>
                <c:pt idx="103">
                  <c:v>£113-114k</c:v>
                </c:pt>
                <c:pt idx="104">
                  <c:v>£114-115k</c:v>
                </c:pt>
                <c:pt idx="105">
                  <c:v>£115-116k</c:v>
                </c:pt>
                <c:pt idx="106">
                  <c:v>£116-117k</c:v>
                </c:pt>
                <c:pt idx="107">
                  <c:v>£117-118k</c:v>
                </c:pt>
                <c:pt idx="108">
                  <c:v>£118-119k</c:v>
                </c:pt>
                <c:pt idx="109">
                  <c:v>£119-120k</c:v>
                </c:pt>
                <c:pt idx="110">
                  <c:v>£120-121k</c:v>
                </c:pt>
                <c:pt idx="111">
                  <c:v>£121-122k</c:v>
                </c:pt>
                <c:pt idx="112">
                  <c:v>£122-123k</c:v>
                </c:pt>
                <c:pt idx="113">
                  <c:v>£123-124k</c:v>
                </c:pt>
                <c:pt idx="114">
                  <c:v>£124-125k</c:v>
                </c:pt>
                <c:pt idx="115">
                  <c:v>£125-126k</c:v>
                </c:pt>
                <c:pt idx="116">
                  <c:v>£126-127k</c:v>
                </c:pt>
                <c:pt idx="117">
                  <c:v>£127-128k</c:v>
                </c:pt>
                <c:pt idx="118">
                  <c:v>£128-129k</c:v>
                </c:pt>
                <c:pt idx="119">
                  <c:v>£129-130k</c:v>
                </c:pt>
                <c:pt idx="120">
                  <c:v>£130-131k</c:v>
                </c:pt>
                <c:pt idx="121">
                  <c:v>£131-132k</c:v>
                </c:pt>
                <c:pt idx="122">
                  <c:v>£132-133k</c:v>
                </c:pt>
                <c:pt idx="123">
                  <c:v>£133-134k</c:v>
                </c:pt>
                <c:pt idx="124">
                  <c:v>£134-135k</c:v>
                </c:pt>
                <c:pt idx="125">
                  <c:v>£135-136k</c:v>
                </c:pt>
                <c:pt idx="126">
                  <c:v>£136-137k</c:v>
                </c:pt>
                <c:pt idx="127">
                  <c:v>£137-138k</c:v>
                </c:pt>
                <c:pt idx="128">
                  <c:v>£138-139k</c:v>
                </c:pt>
                <c:pt idx="129">
                  <c:v>£139-140k</c:v>
                </c:pt>
                <c:pt idx="130">
                  <c:v>£140-141k</c:v>
                </c:pt>
                <c:pt idx="131">
                  <c:v>£141-142k</c:v>
                </c:pt>
                <c:pt idx="132">
                  <c:v>£142-143k</c:v>
                </c:pt>
                <c:pt idx="133">
                  <c:v>£143-144k</c:v>
                </c:pt>
                <c:pt idx="134">
                  <c:v>£144-145k</c:v>
                </c:pt>
                <c:pt idx="135">
                  <c:v>£145-146k</c:v>
                </c:pt>
                <c:pt idx="136">
                  <c:v>£146-147k</c:v>
                </c:pt>
                <c:pt idx="137">
                  <c:v>£147-148k</c:v>
                </c:pt>
                <c:pt idx="138">
                  <c:v>£148-149k</c:v>
                </c:pt>
                <c:pt idx="139">
                  <c:v>£149-150k</c:v>
                </c:pt>
              </c:strCache>
            </c:strRef>
          </c:cat>
          <c:val>
            <c:numRef>
              <c:f>all!$B$5:$B$144</c:f>
              <c:numCache>
                <c:formatCode>General</c:formatCode>
                <c:ptCount val="140"/>
                <c:pt idx="0">
                  <c:v>114234</c:v>
                </c:pt>
                <c:pt idx="1">
                  <c:v>109589</c:v>
                </c:pt>
                <c:pt idx="2">
                  <c:v>109628</c:v>
                </c:pt>
                <c:pt idx="3">
                  <c:v>97925</c:v>
                </c:pt>
                <c:pt idx="4">
                  <c:v>96557</c:v>
                </c:pt>
                <c:pt idx="5">
                  <c:v>95262</c:v>
                </c:pt>
                <c:pt idx="6">
                  <c:v>90611</c:v>
                </c:pt>
                <c:pt idx="7">
                  <c:v>86308</c:v>
                </c:pt>
                <c:pt idx="8">
                  <c:v>88481</c:v>
                </c:pt>
                <c:pt idx="9">
                  <c:v>84057</c:v>
                </c:pt>
                <c:pt idx="10">
                  <c:v>81595</c:v>
                </c:pt>
                <c:pt idx="11">
                  <c:v>78217</c:v>
                </c:pt>
                <c:pt idx="12">
                  <c:v>75922</c:v>
                </c:pt>
                <c:pt idx="13">
                  <c:v>72838</c:v>
                </c:pt>
                <c:pt idx="14">
                  <c:v>72532</c:v>
                </c:pt>
                <c:pt idx="15">
                  <c:v>68571</c:v>
                </c:pt>
                <c:pt idx="16">
                  <c:v>66512</c:v>
                </c:pt>
                <c:pt idx="17">
                  <c:v>62494</c:v>
                </c:pt>
                <c:pt idx="18">
                  <c:v>61123</c:v>
                </c:pt>
                <c:pt idx="19">
                  <c:v>57210</c:v>
                </c:pt>
                <c:pt idx="20">
                  <c:v>55410</c:v>
                </c:pt>
                <c:pt idx="21">
                  <c:v>52836</c:v>
                </c:pt>
                <c:pt idx="22">
                  <c:v>50574</c:v>
                </c:pt>
                <c:pt idx="23">
                  <c:v>46539</c:v>
                </c:pt>
                <c:pt idx="24">
                  <c:v>45006</c:v>
                </c:pt>
                <c:pt idx="25">
                  <c:v>43814</c:v>
                </c:pt>
                <c:pt idx="26">
                  <c:v>41432</c:v>
                </c:pt>
                <c:pt idx="27">
                  <c:v>38519</c:v>
                </c:pt>
                <c:pt idx="28">
                  <c:v>37044</c:v>
                </c:pt>
                <c:pt idx="29">
                  <c:v>35452</c:v>
                </c:pt>
                <c:pt idx="30">
                  <c:v>33437</c:v>
                </c:pt>
                <c:pt idx="31">
                  <c:v>30799</c:v>
                </c:pt>
                <c:pt idx="32">
                  <c:v>29803</c:v>
                </c:pt>
                <c:pt idx="33">
                  <c:v>27528</c:v>
                </c:pt>
                <c:pt idx="34">
                  <c:v>25757</c:v>
                </c:pt>
                <c:pt idx="35">
                  <c:v>25086</c:v>
                </c:pt>
                <c:pt idx="36">
                  <c:v>23544</c:v>
                </c:pt>
                <c:pt idx="37">
                  <c:v>21534</c:v>
                </c:pt>
                <c:pt idx="38">
                  <c:v>20881</c:v>
                </c:pt>
                <c:pt idx="39">
                  <c:v>19632</c:v>
                </c:pt>
                <c:pt idx="40">
                  <c:v>18407</c:v>
                </c:pt>
                <c:pt idx="41">
                  <c:v>17111</c:v>
                </c:pt>
                <c:pt idx="42">
                  <c:v>16338</c:v>
                </c:pt>
                <c:pt idx="43">
                  <c:v>15208</c:v>
                </c:pt>
                <c:pt idx="44">
                  <c:v>14892</c:v>
                </c:pt>
                <c:pt idx="45">
                  <c:v>14222</c:v>
                </c:pt>
                <c:pt idx="46">
                  <c:v>13349</c:v>
                </c:pt>
                <c:pt idx="47">
                  <c:v>12449</c:v>
                </c:pt>
                <c:pt idx="48">
                  <c:v>12263</c:v>
                </c:pt>
                <c:pt idx="49">
                  <c:v>11559</c:v>
                </c:pt>
                <c:pt idx="50">
                  <c:v>11563</c:v>
                </c:pt>
                <c:pt idx="51">
                  <c:v>10788</c:v>
                </c:pt>
                <c:pt idx="52">
                  <c:v>10438</c:v>
                </c:pt>
                <c:pt idx="53">
                  <c:v>9776</c:v>
                </c:pt>
                <c:pt idx="54">
                  <c:v>9382</c:v>
                </c:pt>
                <c:pt idx="55">
                  <c:v>9566</c:v>
                </c:pt>
                <c:pt idx="56">
                  <c:v>8648</c:v>
                </c:pt>
                <c:pt idx="57">
                  <c:v>8568</c:v>
                </c:pt>
                <c:pt idx="58">
                  <c:v>8356</c:v>
                </c:pt>
                <c:pt idx="59">
                  <c:v>8208</c:v>
                </c:pt>
                <c:pt idx="60">
                  <c:v>8325</c:v>
                </c:pt>
                <c:pt idx="61">
                  <c:v>7587</c:v>
                </c:pt>
                <c:pt idx="62">
                  <c:v>7461</c:v>
                </c:pt>
                <c:pt idx="63">
                  <c:v>7177</c:v>
                </c:pt>
                <c:pt idx="64">
                  <c:v>6978</c:v>
                </c:pt>
                <c:pt idx="65">
                  <c:v>7111</c:v>
                </c:pt>
                <c:pt idx="66">
                  <c:v>6739</c:v>
                </c:pt>
                <c:pt idx="67">
                  <c:v>6569</c:v>
                </c:pt>
                <c:pt idx="68">
                  <c:v>6823</c:v>
                </c:pt>
                <c:pt idx="69">
                  <c:v>6961</c:v>
                </c:pt>
                <c:pt idx="70">
                  <c:v>6810</c:v>
                </c:pt>
                <c:pt idx="71">
                  <c:v>6857</c:v>
                </c:pt>
                <c:pt idx="72">
                  <c:v>7172</c:v>
                </c:pt>
                <c:pt idx="73">
                  <c:v>7790</c:v>
                </c:pt>
                <c:pt idx="74">
                  <c:v>8662</c:v>
                </c:pt>
                <c:pt idx="75">
                  <c:v>2929</c:v>
                </c:pt>
                <c:pt idx="76">
                  <c:v>2830</c:v>
                </c:pt>
                <c:pt idx="77">
                  <c:v>2720</c:v>
                </c:pt>
                <c:pt idx="78">
                  <c:v>2707</c:v>
                </c:pt>
                <c:pt idx="79">
                  <c:v>2659</c:v>
                </c:pt>
                <c:pt idx="80">
                  <c:v>2568</c:v>
                </c:pt>
                <c:pt idx="81">
                  <c:v>2530</c:v>
                </c:pt>
                <c:pt idx="82">
                  <c:v>2449</c:v>
                </c:pt>
                <c:pt idx="83">
                  <c:v>2333</c:v>
                </c:pt>
                <c:pt idx="84">
                  <c:v>2377</c:v>
                </c:pt>
                <c:pt idx="85">
                  <c:v>2290</c:v>
                </c:pt>
                <c:pt idx="86">
                  <c:v>2289</c:v>
                </c:pt>
                <c:pt idx="87">
                  <c:v>2166</c:v>
                </c:pt>
                <c:pt idx="88">
                  <c:v>2131</c:v>
                </c:pt>
                <c:pt idx="89">
                  <c:v>2096</c:v>
                </c:pt>
                <c:pt idx="90">
                  <c:v>2172</c:v>
                </c:pt>
                <c:pt idx="91">
                  <c:v>1939</c:v>
                </c:pt>
                <c:pt idx="92">
                  <c:v>2037</c:v>
                </c:pt>
                <c:pt idx="93">
                  <c:v>1837</c:v>
                </c:pt>
                <c:pt idx="94">
                  <c:v>1885</c:v>
                </c:pt>
                <c:pt idx="95">
                  <c:v>1874</c:v>
                </c:pt>
                <c:pt idx="96">
                  <c:v>1848</c:v>
                </c:pt>
                <c:pt idx="97">
                  <c:v>1702</c:v>
                </c:pt>
                <c:pt idx="98">
                  <c:v>1683</c:v>
                </c:pt>
                <c:pt idx="99">
                  <c:v>1662</c:v>
                </c:pt>
                <c:pt idx="100">
                  <c:v>1725</c:v>
                </c:pt>
                <c:pt idx="101">
                  <c:v>1610</c:v>
                </c:pt>
                <c:pt idx="102">
                  <c:v>1647</c:v>
                </c:pt>
                <c:pt idx="103">
                  <c:v>1516</c:v>
                </c:pt>
                <c:pt idx="104">
                  <c:v>1503</c:v>
                </c:pt>
                <c:pt idx="105">
                  <c:v>1530</c:v>
                </c:pt>
                <c:pt idx="106">
                  <c:v>1456</c:v>
                </c:pt>
                <c:pt idx="107">
                  <c:v>1495</c:v>
                </c:pt>
                <c:pt idx="108">
                  <c:v>1431</c:v>
                </c:pt>
                <c:pt idx="109">
                  <c:v>1366</c:v>
                </c:pt>
                <c:pt idx="110">
                  <c:v>1387</c:v>
                </c:pt>
                <c:pt idx="111">
                  <c:v>1323</c:v>
                </c:pt>
                <c:pt idx="112">
                  <c:v>1359</c:v>
                </c:pt>
                <c:pt idx="113">
                  <c:v>1295</c:v>
                </c:pt>
                <c:pt idx="114">
                  <c:v>1256</c:v>
                </c:pt>
                <c:pt idx="115">
                  <c:v>1290</c:v>
                </c:pt>
                <c:pt idx="116">
                  <c:v>1254</c:v>
                </c:pt>
                <c:pt idx="117">
                  <c:v>1195</c:v>
                </c:pt>
                <c:pt idx="118">
                  <c:v>1207</c:v>
                </c:pt>
                <c:pt idx="119">
                  <c:v>1105</c:v>
                </c:pt>
                <c:pt idx="120">
                  <c:v>1237</c:v>
                </c:pt>
                <c:pt idx="121">
                  <c:v>1156</c:v>
                </c:pt>
                <c:pt idx="122">
                  <c:v>1032</c:v>
                </c:pt>
                <c:pt idx="123">
                  <c:v>1059</c:v>
                </c:pt>
                <c:pt idx="124">
                  <c:v>1074</c:v>
                </c:pt>
                <c:pt idx="125">
                  <c:v>1107</c:v>
                </c:pt>
                <c:pt idx="126">
                  <c:v>1053</c:v>
                </c:pt>
                <c:pt idx="127">
                  <c:v>1004</c:v>
                </c:pt>
                <c:pt idx="128">
                  <c:v>971</c:v>
                </c:pt>
                <c:pt idx="129">
                  <c:v>980</c:v>
                </c:pt>
                <c:pt idx="130">
                  <c:v>998</c:v>
                </c:pt>
                <c:pt idx="131">
                  <c:v>1022</c:v>
                </c:pt>
                <c:pt idx="132">
                  <c:v>908</c:v>
                </c:pt>
                <c:pt idx="133">
                  <c:v>908</c:v>
                </c:pt>
                <c:pt idx="134">
                  <c:v>872</c:v>
                </c:pt>
                <c:pt idx="135">
                  <c:v>889</c:v>
                </c:pt>
                <c:pt idx="136">
                  <c:v>857</c:v>
                </c:pt>
                <c:pt idx="137">
                  <c:v>895</c:v>
                </c:pt>
                <c:pt idx="138">
                  <c:v>879</c:v>
                </c:pt>
                <c:pt idx="139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5-6D40-9097-C79B189D43DC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Partnerships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all!$A$5:$A$144</c:f>
              <c:strCache>
                <c:ptCount val="140"/>
                <c:pt idx="0">
                  <c:v>£10-11k</c:v>
                </c:pt>
                <c:pt idx="1">
                  <c:v>£11-12k</c:v>
                </c:pt>
                <c:pt idx="2">
                  <c:v>£12-13k</c:v>
                </c:pt>
                <c:pt idx="3">
                  <c:v>£13-14k</c:v>
                </c:pt>
                <c:pt idx="4">
                  <c:v>£14-15k</c:v>
                </c:pt>
                <c:pt idx="5">
                  <c:v>£15-16k</c:v>
                </c:pt>
                <c:pt idx="6">
                  <c:v>£16-17k</c:v>
                </c:pt>
                <c:pt idx="7">
                  <c:v>£17-18k</c:v>
                </c:pt>
                <c:pt idx="8">
                  <c:v>£18-19k</c:v>
                </c:pt>
                <c:pt idx="9">
                  <c:v>£19-20k</c:v>
                </c:pt>
                <c:pt idx="10">
                  <c:v>£20-21k</c:v>
                </c:pt>
                <c:pt idx="11">
                  <c:v>£21-22k</c:v>
                </c:pt>
                <c:pt idx="12">
                  <c:v>£22-23k</c:v>
                </c:pt>
                <c:pt idx="13">
                  <c:v>£23-24k</c:v>
                </c:pt>
                <c:pt idx="14">
                  <c:v>£24-25k</c:v>
                </c:pt>
                <c:pt idx="15">
                  <c:v>£25-26k</c:v>
                </c:pt>
                <c:pt idx="16">
                  <c:v>£26-27k</c:v>
                </c:pt>
                <c:pt idx="17">
                  <c:v>£27-28k</c:v>
                </c:pt>
                <c:pt idx="18">
                  <c:v>£28-29k</c:v>
                </c:pt>
                <c:pt idx="19">
                  <c:v>£29-30k</c:v>
                </c:pt>
                <c:pt idx="20">
                  <c:v>£30-31k</c:v>
                </c:pt>
                <c:pt idx="21">
                  <c:v>£31-32k</c:v>
                </c:pt>
                <c:pt idx="22">
                  <c:v>£32-33k</c:v>
                </c:pt>
                <c:pt idx="23">
                  <c:v>£33-34k</c:v>
                </c:pt>
                <c:pt idx="24">
                  <c:v>£34-35k</c:v>
                </c:pt>
                <c:pt idx="25">
                  <c:v>£35-36k</c:v>
                </c:pt>
                <c:pt idx="26">
                  <c:v>£36-37k</c:v>
                </c:pt>
                <c:pt idx="27">
                  <c:v>£37-38k</c:v>
                </c:pt>
                <c:pt idx="28">
                  <c:v>£38-39k</c:v>
                </c:pt>
                <c:pt idx="29">
                  <c:v>£39-40k</c:v>
                </c:pt>
                <c:pt idx="30">
                  <c:v>£40-41k</c:v>
                </c:pt>
                <c:pt idx="31">
                  <c:v>£41-42k</c:v>
                </c:pt>
                <c:pt idx="32">
                  <c:v>£42-43k</c:v>
                </c:pt>
                <c:pt idx="33">
                  <c:v>£43-44k</c:v>
                </c:pt>
                <c:pt idx="34">
                  <c:v>£44-45k</c:v>
                </c:pt>
                <c:pt idx="35">
                  <c:v>£45-46k</c:v>
                </c:pt>
                <c:pt idx="36">
                  <c:v>£46-47k</c:v>
                </c:pt>
                <c:pt idx="37">
                  <c:v>£47-48k</c:v>
                </c:pt>
                <c:pt idx="38">
                  <c:v>£48-49k</c:v>
                </c:pt>
                <c:pt idx="39">
                  <c:v>£49-50k</c:v>
                </c:pt>
                <c:pt idx="40">
                  <c:v>£50-51k</c:v>
                </c:pt>
                <c:pt idx="41">
                  <c:v>£51-52k</c:v>
                </c:pt>
                <c:pt idx="42">
                  <c:v>£52-53k</c:v>
                </c:pt>
                <c:pt idx="43">
                  <c:v>£53-54k</c:v>
                </c:pt>
                <c:pt idx="44">
                  <c:v>£54-55k</c:v>
                </c:pt>
                <c:pt idx="45">
                  <c:v>£55-56k</c:v>
                </c:pt>
                <c:pt idx="46">
                  <c:v>£56-57k</c:v>
                </c:pt>
                <c:pt idx="47">
                  <c:v>£57-58k</c:v>
                </c:pt>
                <c:pt idx="48">
                  <c:v>£58-59k</c:v>
                </c:pt>
                <c:pt idx="49">
                  <c:v>£59-60k</c:v>
                </c:pt>
                <c:pt idx="50">
                  <c:v>£60-61k</c:v>
                </c:pt>
                <c:pt idx="51">
                  <c:v>£61-62k</c:v>
                </c:pt>
                <c:pt idx="52">
                  <c:v>£62-63k</c:v>
                </c:pt>
                <c:pt idx="53">
                  <c:v>£63-64k</c:v>
                </c:pt>
                <c:pt idx="54">
                  <c:v>£64-65k</c:v>
                </c:pt>
                <c:pt idx="55">
                  <c:v>£65-66k</c:v>
                </c:pt>
                <c:pt idx="56">
                  <c:v>£66-67k</c:v>
                </c:pt>
                <c:pt idx="57">
                  <c:v>£67-68k</c:v>
                </c:pt>
                <c:pt idx="58">
                  <c:v>£68-69k</c:v>
                </c:pt>
                <c:pt idx="59">
                  <c:v>£69-70k</c:v>
                </c:pt>
                <c:pt idx="60">
                  <c:v>£70-71k</c:v>
                </c:pt>
                <c:pt idx="61">
                  <c:v>£71-72k</c:v>
                </c:pt>
                <c:pt idx="62">
                  <c:v>£72-73k</c:v>
                </c:pt>
                <c:pt idx="63">
                  <c:v>£73-74k</c:v>
                </c:pt>
                <c:pt idx="64">
                  <c:v>£74-75k</c:v>
                </c:pt>
                <c:pt idx="65">
                  <c:v>£75-76k</c:v>
                </c:pt>
                <c:pt idx="66">
                  <c:v>£76-77k</c:v>
                </c:pt>
                <c:pt idx="67">
                  <c:v>£77-78k</c:v>
                </c:pt>
                <c:pt idx="68">
                  <c:v>£78-79k</c:v>
                </c:pt>
                <c:pt idx="69">
                  <c:v>£79-80k</c:v>
                </c:pt>
                <c:pt idx="70">
                  <c:v>£80-81k</c:v>
                </c:pt>
                <c:pt idx="71">
                  <c:v>£81-82k</c:v>
                </c:pt>
                <c:pt idx="72">
                  <c:v>£82-83k</c:v>
                </c:pt>
                <c:pt idx="73">
                  <c:v>£83-84k</c:v>
                </c:pt>
                <c:pt idx="74">
                  <c:v>£84-85k</c:v>
                </c:pt>
                <c:pt idx="75">
                  <c:v>£85-86k</c:v>
                </c:pt>
                <c:pt idx="76">
                  <c:v>£86-87k</c:v>
                </c:pt>
                <c:pt idx="77">
                  <c:v>£87-88k</c:v>
                </c:pt>
                <c:pt idx="78">
                  <c:v>£88-89k</c:v>
                </c:pt>
                <c:pt idx="79">
                  <c:v>£89-90k</c:v>
                </c:pt>
                <c:pt idx="80">
                  <c:v>£90-91k</c:v>
                </c:pt>
                <c:pt idx="81">
                  <c:v>£91-92k</c:v>
                </c:pt>
                <c:pt idx="82">
                  <c:v>£92-93k</c:v>
                </c:pt>
                <c:pt idx="83">
                  <c:v>£93-94k</c:v>
                </c:pt>
                <c:pt idx="84">
                  <c:v>£94-95k</c:v>
                </c:pt>
                <c:pt idx="85">
                  <c:v>£95-96k</c:v>
                </c:pt>
                <c:pt idx="86">
                  <c:v>£96-97k</c:v>
                </c:pt>
                <c:pt idx="87">
                  <c:v>£97-98k</c:v>
                </c:pt>
                <c:pt idx="88">
                  <c:v>£98-99k</c:v>
                </c:pt>
                <c:pt idx="89">
                  <c:v>£99-100k</c:v>
                </c:pt>
                <c:pt idx="90">
                  <c:v>£100-101k</c:v>
                </c:pt>
                <c:pt idx="91">
                  <c:v>£101-102k</c:v>
                </c:pt>
                <c:pt idx="92">
                  <c:v>£102-103k</c:v>
                </c:pt>
                <c:pt idx="93">
                  <c:v>£103-104k</c:v>
                </c:pt>
                <c:pt idx="94">
                  <c:v>£104-105k</c:v>
                </c:pt>
                <c:pt idx="95">
                  <c:v>£105-106k</c:v>
                </c:pt>
                <c:pt idx="96">
                  <c:v>£106-107k</c:v>
                </c:pt>
                <c:pt idx="97">
                  <c:v>£107-108k</c:v>
                </c:pt>
                <c:pt idx="98">
                  <c:v>£108-109k</c:v>
                </c:pt>
                <c:pt idx="99">
                  <c:v>£109-110k</c:v>
                </c:pt>
                <c:pt idx="100">
                  <c:v>£110-111k</c:v>
                </c:pt>
                <c:pt idx="101">
                  <c:v>£111-112k</c:v>
                </c:pt>
                <c:pt idx="102">
                  <c:v>£112-113k</c:v>
                </c:pt>
                <c:pt idx="103">
                  <c:v>£113-114k</c:v>
                </c:pt>
                <c:pt idx="104">
                  <c:v>£114-115k</c:v>
                </c:pt>
                <c:pt idx="105">
                  <c:v>£115-116k</c:v>
                </c:pt>
                <c:pt idx="106">
                  <c:v>£116-117k</c:v>
                </c:pt>
                <c:pt idx="107">
                  <c:v>£117-118k</c:v>
                </c:pt>
                <c:pt idx="108">
                  <c:v>£118-119k</c:v>
                </c:pt>
                <c:pt idx="109">
                  <c:v>£119-120k</c:v>
                </c:pt>
                <c:pt idx="110">
                  <c:v>£120-121k</c:v>
                </c:pt>
                <c:pt idx="111">
                  <c:v>£121-122k</c:v>
                </c:pt>
                <c:pt idx="112">
                  <c:v>£122-123k</c:v>
                </c:pt>
                <c:pt idx="113">
                  <c:v>£123-124k</c:v>
                </c:pt>
                <c:pt idx="114">
                  <c:v>£124-125k</c:v>
                </c:pt>
                <c:pt idx="115">
                  <c:v>£125-126k</c:v>
                </c:pt>
                <c:pt idx="116">
                  <c:v>£126-127k</c:v>
                </c:pt>
                <c:pt idx="117">
                  <c:v>£127-128k</c:v>
                </c:pt>
                <c:pt idx="118">
                  <c:v>£128-129k</c:v>
                </c:pt>
                <c:pt idx="119">
                  <c:v>£129-130k</c:v>
                </c:pt>
                <c:pt idx="120">
                  <c:v>£130-131k</c:v>
                </c:pt>
                <c:pt idx="121">
                  <c:v>£131-132k</c:v>
                </c:pt>
                <c:pt idx="122">
                  <c:v>£132-133k</c:v>
                </c:pt>
                <c:pt idx="123">
                  <c:v>£133-134k</c:v>
                </c:pt>
                <c:pt idx="124">
                  <c:v>£134-135k</c:v>
                </c:pt>
                <c:pt idx="125">
                  <c:v>£135-136k</c:v>
                </c:pt>
                <c:pt idx="126">
                  <c:v>£136-137k</c:v>
                </c:pt>
                <c:pt idx="127">
                  <c:v>£137-138k</c:v>
                </c:pt>
                <c:pt idx="128">
                  <c:v>£138-139k</c:v>
                </c:pt>
                <c:pt idx="129">
                  <c:v>£139-140k</c:v>
                </c:pt>
                <c:pt idx="130">
                  <c:v>£140-141k</c:v>
                </c:pt>
                <c:pt idx="131">
                  <c:v>£141-142k</c:v>
                </c:pt>
                <c:pt idx="132">
                  <c:v>£142-143k</c:v>
                </c:pt>
                <c:pt idx="133">
                  <c:v>£143-144k</c:v>
                </c:pt>
                <c:pt idx="134">
                  <c:v>£144-145k</c:v>
                </c:pt>
                <c:pt idx="135">
                  <c:v>£145-146k</c:v>
                </c:pt>
                <c:pt idx="136">
                  <c:v>£146-147k</c:v>
                </c:pt>
                <c:pt idx="137">
                  <c:v>£147-148k</c:v>
                </c:pt>
                <c:pt idx="138">
                  <c:v>£148-149k</c:v>
                </c:pt>
                <c:pt idx="139">
                  <c:v>£149-150k</c:v>
                </c:pt>
              </c:strCache>
            </c:strRef>
          </c:cat>
          <c:val>
            <c:numRef>
              <c:f>all!$C$5:$C$144</c:f>
              <c:numCache>
                <c:formatCode>General</c:formatCode>
                <c:ptCount val="140"/>
                <c:pt idx="0">
                  <c:v>2668</c:v>
                </c:pt>
                <c:pt idx="1">
                  <c:v>2490</c:v>
                </c:pt>
                <c:pt idx="2">
                  <c:v>2648</c:v>
                </c:pt>
                <c:pt idx="3">
                  <c:v>2353</c:v>
                </c:pt>
                <c:pt idx="4">
                  <c:v>2330</c:v>
                </c:pt>
                <c:pt idx="5">
                  <c:v>2549</c:v>
                </c:pt>
                <c:pt idx="6">
                  <c:v>2295</c:v>
                </c:pt>
                <c:pt idx="7">
                  <c:v>2405</c:v>
                </c:pt>
                <c:pt idx="8">
                  <c:v>2443</c:v>
                </c:pt>
                <c:pt idx="9">
                  <c:v>2242</c:v>
                </c:pt>
                <c:pt idx="10">
                  <c:v>2474</c:v>
                </c:pt>
                <c:pt idx="11">
                  <c:v>2219</c:v>
                </c:pt>
                <c:pt idx="12">
                  <c:v>2221</c:v>
                </c:pt>
                <c:pt idx="13">
                  <c:v>2253</c:v>
                </c:pt>
                <c:pt idx="14">
                  <c:v>2143</c:v>
                </c:pt>
                <c:pt idx="15">
                  <c:v>2300</c:v>
                </c:pt>
                <c:pt idx="16">
                  <c:v>2125</c:v>
                </c:pt>
                <c:pt idx="17">
                  <c:v>1992</c:v>
                </c:pt>
                <c:pt idx="18">
                  <c:v>2053</c:v>
                </c:pt>
                <c:pt idx="19">
                  <c:v>2104</c:v>
                </c:pt>
                <c:pt idx="20">
                  <c:v>2097</c:v>
                </c:pt>
                <c:pt idx="21">
                  <c:v>2029</c:v>
                </c:pt>
                <c:pt idx="22">
                  <c:v>1971</c:v>
                </c:pt>
                <c:pt idx="23">
                  <c:v>1917</c:v>
                </c:pt>
                <c:pt idx="24">
                  <c:v>1897</c:v>
                </c:pt>
                <c:pt idx="25">
                  <c:v>1910</c:v>
                </c:pt>
                <c:pt idx="26">
                  <c:v>2016</c:v>
                </c:pt>
                <c:pt idx="27">
                  <c:v>1821</c:v>
                </c:pt>
                <c:pt idx="28">
                  <c:v>1829</c:v>
                </c:pt>
                <c:pt idx="29">
                  <c:v>1793</c:v>
                </c:pt>
                <c:pt idx="30">
                  <c:v>1802</c:v>
                </c:pt>
                <c:pt idx="31">
                  <c:v>1736</c:v>
                </c:pt>
                <c:pt idx="32">
                  <c:v>1840</c:v>
                </c:pt>
                <c:pt idx="33">
                  <c:v>1740</c:v>
                </c:pt>
                <c:pt idx="34">
                  <c:v>1688</c:v>
                </c:pt>
                <c:pt idx="35">
                  <c:v>1710</c:v>
                </c:pt>
                <c:pt idx="36">
                  <c:v>1664</c:v>
                </c:pt>
                <c:pt idx="37">
                  <c:v>1593</c:v>
                </c:pt>
                <c:pt idx="38">
                  <c:v>1594</c:v>
                </c:pt>
                <c:pt idx="39">
                  <c:v>1585</c:v>
                </c:pt>
                <c:pt idx="40">
                  <c:v>1664</c:v>
                </c:pt>
                <c:pt idx="41">
                  <c:v>1572</c:v>
                </c:pt>
                <c:pt idx="42">
                  <c:v>1597</c:v>
                </c:pt>
                <c:pt idx="43">
                  <c:v>1485</c:v>
                </c:pt>
                <c:pt idx="44">
                  <c:v>1589</c:v>
                </c:pt>
                <c:pt idx="45">
                  <c:v>1540</c:v>
                </c:pt>
                <c:pt idx="46">
                  <c:v>1446</c:v>
                </c:pt>
                <c:pt idx="47">
                  <c:v>1459</c:v>
                </c:pt>
                <c:pt idx="48">
                  <c:v>1444</c:v>
                </c:pt>
                <c:pt idx="49">
                  <c:v>1430</c:v>
                </c:pt>
                <c:pt idx="50">
                  <c:v>1540</c:v>
                </c:pt>
                <c:pt idx="51">
                  <c:v>1386</c:v>
                </c:pt>
                <c:pt idx="52">
                  <c:v>1426</c:v>
                </c:pt>
                <c:pt idx="53">
                  <c:v>1391</c:v>
                </c:pt>
                <c:pt idx="54">
                  <c:v>1403</c:v>
                </c:pt>
                <c:pt idx="55">
                  <c:v>1432</c:v>
                </c:pt>
                <c:pt idx="56">
                  <c:v>1325</c:v>
                </c:pt>
                <c:pt idx="57">
                  <c:v>1304</c:v>
                </c:pt>
                <c:pt idx="58">
                  <c:v>1367</c:v>
                </c:pt>
                <c:pt idx="59">
                  <c:v>1406</c:v>
                </c:pt>
                <c:pt idx="60">
                  <c:v>1439</c:v>
                </c:pt>
                <c:pt idx="61">
                  <c:v>1324</c:v>
                </c:pt>
                <c:pt idx="62">
                  <c:v>1317</c:v>
                </c:pt>
                <c:pt idx="63">
                  <c:v>1262</c:v>
                </c:pt>
                <c:pt idx="64">
                  <c:v>1330</c:v>
                </c:pt>
                <c:pt idx="65">
                  <c:v>1339</c:v>
                </c:pt>
                <c:pt idx="66">
                  <c:v>1335</c:v>
                </c:pt>
                <c:pt idx="67">
                  <c:v>1295</c:v>
                </c:pt>
                <c:pt idx="68">
                  <c:v>1361</c:v>
                </c:pt>
                <c:pt idx="69">
                  <c:v>1385</c:v>
                </c:pt>
                <c:pt idx="70">
                  <c:v>1471</c:v>
                </c:pt>
                <c:pt idx="71">
                  <c:v>1366</c:v>
                </c:pt>
                <c:pt idx="72">
                  <c:v>1502</c:v>
                </c:pt>
                <c:pt idx="73">
                  <c:v>1649</c:v>
                </c:pt>
                <c:pt idx="74">
                  <c:v>1635</c:v>
                </c:pt>
                <c:pt idx="75">
                  <c:v>799</c:v>
                </c:pt>
                <c:pt idx="76">
                  <c:v>755</c:v>
                </c:pt>
                <c:pt idx="77">
                  <c:v>746</c:v>
                </c:pt>
                <c:pt idx="78">
                  <c:v>763</c:v>
                </c:pt>
                <c:pt idx="79">
                  <c:v>739</c:v>
                </c:pt>
                <c:pt idx="80">
                  <c:v>699</c:v>
                </c:pt>
                <c:pt idx="81">
                  <c:v>732</c:v>
                </c:pt>
                <c:pt idx="82">
                  <c:v>674</c:v>
                </c:pt>
                <c:pt idx="83">
                  <c:v>667</c:v>
                </c:pt>
                <c:pt idx="84">
                  <c:v>711</c:v>
                </c:pt>
                <c:pt idx="85">
                  <c:v>676</c:v>
                </c:pt>
                <c:pt idx="86">
                  <c:v>665</c:v>
                </c:pt>
                <c:pt idx="87">
                  <c:v>690</c:v>
                </c:pt>
                <c:pt idx="88">
                  <c:v>670</c:v>
                </c:pt>
                <c:pt idx="89">
                  <c:v>628</c:v>
                </c:pt>
                <c:pt idx="90">
                  <c:v>710</c:v>
                </c:pt>
                <c:pt idx="91">
                  <c:v>618</c:v>
                </c:pt>
                <c:pt idx="92">
                  <c:v>623</c:v>
                </c:pt>
                <c:pt idx="93">
                  <c:v>657</c:v>
                </c:pt>
                <c:pt idx="94">
                  <c:v>626</c:v>
                </c:pt>
                <c:pt idx="95">
                  <c:v>623</c:v>
                </c:pt>
                <c:pt idx="96">
                  <c:v>609</c:v>
                </c:pt>
                <c:pt idx="97">
                  <c:v>564</c:v>
                </c:pt>
                <c:pt idx="98">
                  <c:v>581</c:v>
                </c:pt>
                <c:pt idx="99">
                  <c:v>570</c:v>
                </c:pt>
                <c:pt idx="100">
                  <c:v>621</c:v>
                </c:pt>
                <c:pt idx="101">
                  <c:v>598</c:v>
                </c:pt>
                <c:pt idx="102">
                  <c:v>571</c:v>
                </c:pt>
                <c:pt idx="103">
                  <c:v>553</c:v>
                </c:pt>
                <c:pt idx="104">
                  <c:v>586</c:v>
                </c:pt>
                <c:pt idx="105">
                  <c:v>540</c:v>
                </c:pt>
                <c:pt idx="106">
                  <c:v>545</c:v>
                </c:pt>
                <c:pt idx="107">
                  <c:v>528</c:v>
                </c:pt>
                <c:pt idx="108">
                  <c:v>538</c:v>
                </c:pt>
                <c:pt idx="109">
                  <c:v>554</c:v>
                </c:pt>
                <c:pt idx="110">
                  <c:v>574</c:v>
                </c:pt>
                <c:pt idx="111">
                  <c:v>503</c:v>
                </c:pt>
                <c:pt idx="112">
                  <c:v>517</c:v>
                </c:pt>
                <c:pt idx="113">
                  <c:v>512</c:v>
                </c:pt>
                <c:pt idx="114">
                  <c:v>513</c:v>
                </c:pt>
                <c:pt idx="115">
                  <c:v>507</c:v>
                </c:pt>
                <c:pt idx="116">
                  <c:v>465</c:v>
                </c:pt>
                <c:pt idx="117">
                  <c:v>496</c:v>
                </c:pt>
                <c:pt idx="118">
                  <c:v>550</c:v>
                </c:pt>
                <c:pt idx="119">
                  <c:v>492</c:v>
                </c:pt>
                <c:pt idx="120">
                  <c:v>527</c:v>
                </c:pt>
                <c:pt idx="121">
                  <c:v>443</c:v>
                </c:pt>
                <c:pt idx="122">
                  <c:v>467</c:v>
                </c:pt>
                <c:pt idx="123">
                  <c:v>511</c:v>
                </c:pt>
                <c:pt idx="124">
                  <c:v>498</c:v>
                </c:pt>
                <c:pt idx="125">
                  <c:v>476</c:v>
                </c:pt>
                <c:pt idx="126">
                  <c:v>503</c:v>
                </c:pt>
                <c:pt idx="127">
                  <c:v>488</c:v>
                </c:pt>
                <c:pt idx="128">
                  <c:v>457</c:v>
                </c:pt>
                <c:pt idx="129">
                  <c:v>456</c:v>
                </c:pt>
                <c:pt idx="130">
                  <c:v>448</c:v>
                </c:pt>
                <c:pt idx="131">
                  <c:v>471</c:v>
                </c:pt>
                <c:pt idx="132">
                  <c:v>456</c:v>
                </c:pt>
                <c:pt idx="133">
                  <c:v>439</c:v>
                </c:pt>
                <c:pt idx="134">
                  <c:v>441</c:v>
                </c:pt>
                <c:pt idx="135">
                  <c:v>440</c:v>
                </c:pt>
                <c:pt idx="136">
                  <c:v>416</c:v>
                </c:pt>
                <c:pt idx="137">
                  <c:v>407</c:v>
                </c:pt>
                <c:pt idx="138">
                  <c:v>405</c:v>
                </c:pt>
                <c:pt idx="139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5-6D40-9097-C79B189D43DC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Companies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all!$A$5:$A$144</c:f>
              <c:strCache>
                <c:ptCount val="140"/>
                <c:pt idx="0">
                  <c:v>£10-11k</c:v>
                </c:pt>
                <c:pt idx="1">
                  <c:v>£11-12k</c:v>
                </c:pt>
                <c:pt idx="2">
                  <c:v>£12-13k</c:v>
                </c:pt>
                <c:pt idx="3">
                  <c:v>£13-14k</c:v>
                </c:pt>
                <c:pt idx="4">
                  <c:v>£14-15k</c:v>
                </c:pt>
                <c:pt idx="5">
                  <c:v>£15-16k</c:v>
                </c:pt>
                <c:pt idx="6">
                  <c:v>£16-17k</c:v>
                </c:pt>
                <c:pt idx="7">
                  <c:v>£17-18k</c:v>
                </c:pt>
                <c:pt idx="8">
                  <c:v>£18-19k</c:v>
                </c:pt>
                <c:pt idx="9">
                  <c:v>£19-20k</c:v>
                </c:pt>
                <c:pt idx="10">
                  <c:v>£20-21k</c:v>
                </c:pt>
                <c:pt idx="11">
                  <c:v>£21-22k</c:v>
                </c:pt>
                <c:pt idx="12">
                  <c:v>£22-23k</c:v>
                </c:pt>
                <c:pt idx="13">
                  <c:v>£23-24k</c:v>
                </c:pt>
                <c:pt idx="14">
                  <c:v>£24-25k</c:v>
                </c:pt>
                <c:pt idx="15">
                  <c:v>£25-26k</c:v>
                </c:pt>
                <c:pt idx="16">
                  <c:v>£26-27k</c:v>
                </c:pt>
                <c:pt idx="17">
                  <c:v>£27-28k</c:v>
                </c:pt>
                <c:pt idx="18">
                  <c:v>£28-29k</c:v>
                </c:pt>
                <c:pt idx="19">
                  <c:v>£29-30k</c:v>
                </c:pt>
                <c:pt idx="20">
                  <c:v>£30-31k</c:v>
                </c:pt>
                <c:pt idx="21">
                  <c:v>£31-32k</c:v>
                </c:pt>
                <c:pt idx="22">
                  <c:v>£32-33k</c:v>
                </c:pt>
                <c:pt idx="23">
                  <c:v>£33-34k</c:v>
                </c:pt>
                <c:pt idx="24">
                  <c:v>£34-35k</c:v>
                </c:pt>
                <c:pt idx="25">
                  <c:v>£35-36k</c:v>
                </c:pt>
                <c:pt idx="26">
                  <c:v>£36-37k</c:v>
                </c:pt>
                <c:pt idx="27">
                  <c:v>£37-38k</c:v>
                </c:pt>
                <c:pt idx="28">
                  <c:v>£38-39k</c:v>
                </c:pt>
                <c:pt idx="29">
                  <c:v>£39-40k</c:v>
                </c:pt>
                <c:pt idx="30">
                  <c:v>£40-41k</c:v>
                </c:pt>
                <c:pt idx="31">
                  <c:v>£41-42k</c:v>
                </c:pt>
                <c:pt idx="32">
                  <c:v>£42-43k</c:v>
                </c:pt>
                <c:pt idx="33">
                  <c:v>£43-44k</c:v>
                </c:pt>
                <c:pt idx="34">
                  <c:v>£44-45k</c:v>
                </c:pt>
                <c:pt idx="35">
                  <c:v>£45-46k</c:v>
                </c:pt>
                <c:pt idx="36">
                  <c:v>£46-47k</c:v>
                </c:pt>
                <c:pt idx="37">
                  <c:v>£47-48k</c:v>
                </c:pt>
                <c:pt idx="38">
                  <c:v>£48-49k</c:v>
                </c:pt>
                <c:pt idx="39">
                  <c:v>£49-50k</c:v>
                </c:pt>
                <c:pt idx="40">
                  <c:v>£50-51k</c:v>
                </c:pt>
                <c:pt idx="41">
                  <c:v>£51-52k</c:v>
                </c:pt>
                <c:pt idx="42">
                  <c:v>£52-53k</c:v>
                </c:pt>
                <c:pt idx="43">
                  <c:v>£53-54k</c:v>
                </c:pt>
                <c:pt idx="44">
                  <c:v>£54-55k</c:v>
                </c:pt>
                <c:pt idx="45">
                  <c:v>£55-56k</c:v>
                </c:pt>
                <c:pt idx="46">
                  <c:v>£56-57k</c:v>
                </c:pt>
                <c:pt idx="47">
                  <c:v>£57-58k</c:v>
                </c:pt>
                <c:pt idx="48">
                  <c:v>£58-59k</c:v>
                </c:pt>
                <c:pt idx="49">
                  <c:v>£59-60k</c:v>
                </c:pt>
                <c:pt idx="50">
                  <c:v>£60-61k</c:v>
                </c:pt>
                <c:pt idx="51">
                  <c:v>£61-62k</c:v>
                </c:pt>
                <c:pt idx="52">
                  <c:v>£62-63k</c:v>
                </c:pt>
                <c:pt idx="53">
                  <c:v>£63-64k</c:v>
                </c:pt>
                <c:pt idx="54">
                  <c:v>£64-65k</c:v>
                </c:pt>
                <c:pt idx="55">
                  <c:v>£65-66k</c:v>
                </c:pt>
                <c:pt idx="56">
                  <c:v>£66-67k</c:v>
                </c:pt>
                <c:pt idx="57">
                  <c:v>£67-68k</c:v>
                </c:pt>
                <c:pt idx="58">
                  <c:v>£68-69k</c:v>
                </c:pt>
                <c:pt idx="59">
                  <c:v>£69-70k</c:v>
                </c:pt>
                <c:pt idx="60">
                  <c:v>£70-71k</c:v>
                </c:pt>
                <c:pt idx="61">
                  <c:v>£71-72k</c:v>
                </c:pt>
                <c:pt idx="62">
                  <c:v>£72-73k</c:v>
                </c:pt>
                <c:pt idx="63">
                  <c:v>£73-74k</c:v>
                </c:pt>
                <c:pt idx="64">
                  <c:v>£74-75k</c:v>
                </c:pt>
                <c:pt idx="65">
                  <c:v>£75-76k</c:v>
                </c:pt>
                <c:pt idx="66">
                  <c:v>£76-77k</c:v>
                </c:pt>
                <c:pt idx="67">
                  <c:v>£77-78k</c:v>
                </c:pt>
                <c:pt idx="68">
                  <c:v>£78-79k</c:v>
                </c:pt>
                <c:pt idx="69">
                  <c:v>£79-80k</c:v>
                </c:pt>
                <c:pt idx="70">
                  <c:v>£80-81k</c:v>
                </c:pt>
                <c:pt idx="71">
                  <c:v>£81-82k</c:v>
                </c:pt>
                <c:pt idx="72">
                  <c:v>£82-83k</c:v>
                </c:pt>
                <c:pt idx="73">
                  <c:v>£83-84k</c:v>
                </c:pt>
                <c:pt idx="74">
                  <c:v>£84-85k</c:v>
                </c:pt>
                <c:pt idx="75">
                  <c:v>£85-86k</c:v>
                </c:pt>
                <c:pt idx="76">
                  <c:v>£86-87k</c:v>
                </c:pt>
                <c:pt idx="77">
                  <c:v>£87-88k</c:v>
                </c:pt>
                <c:pt idx="78">
                  <c:v>£88-89k</c:v>
                </c:pt>
                <c:pt idx="79">
                  <c:v>£89-90k</c:v>
                </c:pt>
                <c:pt idx="80">
                  <c:v>£90-91k</c:v>
                </c:pt>
                <c:pt idx="81">
                  <c:v>£91-92k</c:v>
                </c:pt>
                <c:pt idx="82">
                  <c:v>£92-93k</c:v>
                </c:pt>
                <c:pt idx="83">
                  <c:v>£93-94k</c:v>
                </c:pt>
                <c:pt idx="84">
                  <c:v>£94-95k</c:v>
                </c:pt>
                <c:pt idx="85">
                  <c:v>£95-96k</c:v>
                </c:pt>
                <c:pt idx="86">
                  <c:v>£96-97k</c:v>
                </c:pt>
                <c:pt idx="87">
                  <c:v>£97-98k</c:v>
                </c:pt>
                <c:pt idx="88">
                  <c:v>£98-99k</c:v>
                </c:pt>
                <c:pt idx="89">
                  <c:v>£99-100k</c:v>
                </c:pt>
                <c:pt idx="90">
                  <c:v>£100-101k</c:v>
                </c:pt>
                <c:pt idx="91">
                  <c:v>£101-102k</c:v>
                </c:pt>
                <c:pt idx="92">
                  <c:v>£102-103k</c:v>
                </c:pt>
                <c:pt idx="93">
                  <c:v>£103-104k</c:v>
                </c:pt>
                <c:pt idx="94">
                  <c:v>£104-105k</c:v>
                </c:pt>
                <c:pt idx="95">
                  <c:v>£105-106k</c:v>
                </c:pt>
                <c:pt idx="96">
                  <c:v>£106-107k</c:v>
                </c:pt>
                <c:pt idx="97">
                  <c:v>£107-108k</c:v>
                </c:pt>
                <c:pt idx="98">
                  <c:v>£108-109k</c:v>
                </c:pt>
                <c:pt idx="99">
                  <c:v>£109-110k</c:v>
                </c:pt>
                <c:pt idx="100">
                  <c:v>£110-111k</c:v>
                </c:pt>
                <c:pt idx="101">
                  <c:v>£111-112k</c:v>
                </c:pt>
                <c:pt idx="102">
                  <c:v>£112-113k</c:v>
                </c:pt>
                <c:pt idx="103">
                  <c:v>£113-114k</c:v>
                </c:pt>
                <c:pt idx="104">
                  <c:v>£114-115k</c:v>
                </c:pt>
                <c:pt idx="105">
                  <c:v>£115-116k</c:v>
                </c:pt>
                <c:pt idx="106">
                  <c:v>£116-117k</c:v>
                </c:pt>
                <c:pt idx="107">
                  <c:v>£117-118k</c:v>
                </c:pt>
                <c:pt idx="108">
                  <c:v>£118-119k</c:v>
                </c:pt>
                <c:pt idx="109">
                  <c:v>£119-120k</c:v>
                </c:pt>
                <c:pt idx="110">
                  <c:v>£120-121k</c:v>
                </c:pt>
                <c:pt idx="111">
                  <c:v>£121-122k</c:v>
                </c:pt>
                <c:pt idx="112">
                  <c:v>£122-123k</c:v>
                </c:pt>
                <c:pt idx="113">
                  <c:v>£123-124k</c:v>
                </c:pt>
                <c:pt idx="114">
                  <c:v>£124-125k</c:v>
                </c:pt>
                <c:pt idx="115">
                  <c:v>£125-126k</c:v>
                </c:pt>
                <c:pt idx="116">
                  <c:v>£126-127k</c:v>
                </c:pt>
                <c:pt idx="117">
                  <c:v>£127-128k</c:v>
                </c:pt>
                <c:pt idx="118">
                  <c:v>£128-129k</c:v>
                </c:pt>
                <c:pt idx="119">
                  <c:v>£129-130k</c:v>
                </c:pt>
                <c:pt idx="120">
                  <c:v>£130-131k</c:v>
                </c:pt>
                <c:pt idx="121">
                  <c:v>£131-132k</c:v>
                </c:pt>
                <c:pt idx="122">
                  <c:v>£132-133k</c:v>
                </c:pt>
                <c:pt idx="123">
                  <c:v>£133-134k</c:v>
                </c:pt>
                <c:pt idx="124">
                  <c:v>£134-135k</c:v>
                </c:pt>
                <c:pt idx="125">
                  <c:v>£135-136k</c:v>
                </c:pt>
                <c:pt idx="126">
                  <c:v>£136-137k</c:v>
                </c:pt>
                <c:pt idx="127">
                  <c:v>£137-138k</c:v>
                </c:pt>
                <c:pt idx="128">
                  <c:v>£138-139k</c:v>
                </c:pt>
                <c:pt idx="129">
                  <c:v>£139-140k</c:v>
                </c:pt>
                <c:pt idx="130">
                  <c:v>£140-141k</c:v>
                </c:pt>
                <c:pt idx="131">
                  <c:v>£141-142k</c:v>
                </c:pt>
                <c:pt idx="132">
                  <c:v>£142-143k</c:v>
                </c:pt>
                <c:pt idx="133">
                  <c:v>£143-144k</c:v>
                </c:pt>
                <c:pt idx="134">
                  <c:v>£144-145k</c:v>
                </c:pt>
                <c:pt idx="135">
                  <c:v>£145-146k</c:v>
                </c:pt>
                <c:pt idx="136">
                  <c:v>£146-147k</c:v>
                </c:pt>
                <c:pt idx="137">
                  <c:v>£147-148k</c:v>
                </c:pt>
                <c:pt idx="138">
                  <c:v>£148-149k</c:v>
                </c:pt>
                <c:pt idx="139">
                  <c:v>£149-150k</c:v>
                </c:pt>
              </c:strCache>
            </c:strRef>
          </c:cat>
          <c:val>
            <c:numRef>
              <c:f>all!$D$5:$D$144</c:f>
              <c:numCache>
                <c:formatCode>General</c:formatCode>
                <c:ptCount val="140"/>
                <c:pt idx="0">
                  <c:v>14417</c:v>
                </c:pt>
                <c:pt idx="1">
                  <c:v>13277</c:v>
                </c:pt>
                <c:pt idx="2">
                  <c:v>13992</c:v>
                </c:pt>
                <c:pt idx="3">
                  <c:v>12724</c:v>
                </c:pt>
                <c:pt idx="4">
                  <c:v>12669</c:v>
                </c:pt>
                <c:pt idx="5">
                  <c:v>13307</c:v>
                </c:pt>
                <c:pt idx="6">
                  <c:v>12522</c:v>
                </c:pt>
                <c:pt idx="7">
                  <c:v>12246</c:v>
                </c:pt>
                <c:pt idx="8">
                  <c:v>12673</c:v>
                </c:pt>
                <c:pt idx="9">
                  <c:v>12302</c:v>
                </c:pt>
                <c:pt idx="10">
                  <c:v>12840</c:v>
                </c:pt>
                <c:pt idx="11">
                  <c:v>12291</c:v>
                </c:pt>
                <c:pt idx="12">
                  <c:v>12260</c:v>
                </c:pt>
                <c:pt idx="13">
                  <c:v>12304</c:v>
                </c:pt>
                <c:pt idx="14">
                  <c:v>12661</c:v>
                </c:pt>
                <c:pt idx="15">
                  <c:v>12729</c:v>
                </c:pt>
                <c:pt idx="16">
                  <c:v>12487</c:v>
                </c:pt>
                <c:pt idx="17">
                  <c:v>12761</c:v>
                </c:pt>
                <c:pt idx="18">
                  <c:v>12689</c:v>
                </c:pt>
                <c:pt idx="19">
                  <c:v>12751</c:v>
                </c:pt>
                <c:pt idx="20">
                  <c:v>13387</c:v>
                </c:pt>
                <c:pt idx="21">
                  <c:v>12865</c:v>
                </c:pt>
                <c:pt idx="22">
                  <c:v>12773</c:v>
                </c:pt>
                <c:pt idx="23">
                  <c:v>12892</c:v>
                </c:pt>
                <c:pt idx="24">
                  <c:v>12810</c:v>
                </c:pt>
                <c:pt idx="25">
                  <c:v>12715</c:v>
                </c:pt>
                <c:pt idx="26">
                  <c:v>12871</c:v>
                </c:pt>
                <c:pt idx="27">
                  <c:v>12315</c:v>
                </c:pt>
                <c:pt idx="28">
                  <c:v>12092</c:v>
                </c:pt>
                <c:pt idx="29">
                  <c:v>11842</c:v>
                </c:pt>
                <c:pt idx="30">
                  <c:v>12055</c:v>
                </c:pt>
                <c:pt idx="31">
                  <c:v>11478</c:v>
                </c:pt>
                <c:pt idx="32">
                  <c:v>11617</c:v>
                </c:pt>
                <c:pt idx="33">
                  <c:v>11280</c:v>
                </c:pt>
                <c:pt idx="34">
                  <c:v>11082</c:v>
                </c:pt>
                <c:pt idx="35">
                  <c:v>11079</c:v>
                </c:pt>
                <c:pt idx="36">
                  <c:v>10734</c:v>
                </c:pt>
                <c:pt idx="37">
                  <c:v>10454</c:v>
                </c:pt>
                <c:pt idx="38">
                  <c:v>10783</c:v>
                </c:pt>
                <c:pt idx="39">
                  <c:v>10549</c:v>
                </c:pt>
                <c:pt idx="40">
                  <c:v>10770</c:v>
                </c:pt>
                <c:pt idx="41">
                  <c:v>10349</c:v>
                </c:pt>
                <c:pt idx="42">
                  <c:v>10329</c:v>
                </c:pt>
                <c:pt idx="43">
                  <c:v>9984</c:v>
                </c:pt>
                <c:pt idx="44">
                  <c:v>10033</c:v>
                </c:pt>
                <c:pt idx="45">
                  <c:v>10182</c:v>
                </c:pt>
                <c:pt idx="46">
                  <c:v>9973</c:v>
                </c:pt>
                <c:pt idx="47">
                  <c:v>9767</c:v>
                </c:pt>
                <c:pt idx="48">
                  <c:v>9772</c:v>
                </c:pt>
                <c:pt idx="49">
                  <c:v>9636</c:v>
                </c:pt>
                <c:pt idx="50">
                  <c:v>10096</c:v>
                </c:pt>
                <c:pt idx="51">
                  <c:v>9488</c:v>
                </c:pt>
                <c:pt idx="52">
                  <c:v>9501</c:v>
                </c:pt>
                <c:pt idx="53">
                  <c:v>9284</c:v>
                </c:pt>
                <c:pt idx="54">
                  <c:v>9174</c:v>
                </c:pt>
                <c:pt idx="55">
                  <c:v>9405</c:v>
                </c:pt>
                <c:pt idx="56">
                  <c:v>9222</c:v>
                </c:pt>
                <c:pt idx="57">
                  <c:v>8947</c:v>
                </c:pt>
                <c:pt idx="58">
                  <c:v>9189</c:v>
                </c:pt>
                <c:pt idx="59">
                  <c:v>9014</c:v>
                </c:pt>
                <c:pt idx="60">
                  <c:v>9482</c:v>
                </c:pt>
                <c:pt idx="61">
                  <c:v>9094</c:v>
                </c:pt>
                <c:pt idx="62">
                  <c:v>9185</c:v>
                </c:pt>
                <c:pt idx="63">
                  <c:v>8915</c:v>
                </c:pt>
                <c:pt idx="64">
                  <c:v>8829</c:v>
                </c:pt>
                <c:pt idx="65">
                  <c:v>9328</c:v>
                </c:pt>
                <c:pt idx="66">
                  <c:v>8797</c:v>
                </c:pt>
                <c:pt idx="67">
                  <c:v>8922</c:v>
                </c:pt>
                <c:pt idx="68">
                  <c:v>9202</c:v>
                </c:pt>
                <c:pt idx="69">
                  <c:v>9427</c:v>
                </c:pt>
                <c:pt idx="70">
                  <c:v>9425</c:v>
                </c:pt>
                <c:pt idx="71">
                  <c:v>9373</c:v>
                </c:pt>
                <c:pt idx="72">
                  <c:v>9886</c:v>
                </c:pt>
                <c:pt idx="73">
                  <c:v>10163</c:v>
                </c:pt>
                <c:pt idx="74">
                  <c:v>10084</c:v>
                </c:pt>
                <c:pt idx="75">
                  <c:v>6707</c:v>
                </c:pt>
                <c:pt idx="76">
                  <c:v>6282</c:v>
                </c:pt>
                <c:pt idx="77">
                  <c:v>6166</c:v>
                </c:pt>
                <c:pt idx="78">
                  <c:v>6137</c:v>
                </c:pt>
                <c:pt idx="79">
                  <c:v>5945</c:v>
                </c:pt>
                <c:pt idx="80">
                  <c:v>6129</c:v>
                </c:pt>
                <c:pt idx="81">
                  <c:v>5939</c:v>
                </c:pt>
                <c:pt idx="82">
                  <c:v>5961</c:v>
                </c:pt>
                <c:pt idx="83">
                  <c:v>5819</c:v>
                </c:pt>
                <c:pt idx="84">
                  <c:v>5878</c:v>
                </c:pt>
                <c:pt idx="85">
                  <c:v>5722</c:v>
                </c:pt>
                <c:pt idx="86">
                  <c:v>5708</c:v>
                </c:pt>
                <c:pt idx="87">
                  <c:v>5594</c:v>
                </c:pt>
                <c:pt idx="88">
                  <c:v>5535</c:v>
                </c:pt>
                <c:pt idx="89">
                  <c:v>5504</c:v>
                </c:pt>
                <c:pt idx="90">
                  <c:v>5655</c:v>
                </c:pt>
                <c:pt idx="91">
                  <c:v>5527</c:v>
                </c:pt>
                <c:pt idx="92">
                  <c:v>5438</c:v>
                </c:pt>
                <c:pt idx="93">
                  <c:v>5383</c:v>
                </c:pt>
                <c:pt idx="94">
                  <c:v>5253</c:v>
                </c:pt>
                <c:pt idx="95">
                  <c:v>5193</c:v>
                </c:pt>
                <c:pt idx="96">
                  <c:v>5030</c:v>
                </c:pt>
                <c:pt idx="97">
                  <c:v>4863</c:v>
                </c:pt>
                <c:pt idx="98">
                  <c:v>5023</c:v>
                </c:pt>
                <c:pt idx="99">
                  <c:v>4863</c:v>
                </c:pt>
                <c:pt idx="100">
                  <c:v>4935</c:v>
                </c:pt>
                <c:pt idx="101">
                  <c:v>4649</c:v>
                </c:pt>
                <c:pt idx="102">
                  <c:v>4776</c:v>
                </c:pt>
                <c:pt idx="103">
                  <c:v>4691</c:v>
                </c:pt>
                <c:pt idx="104">
                  <c:v>4602</c:v>
                </c:pt>
                <c:pt idx="105">
                  <c:v>4628</c:v>
                </c:pt>
                <c:pt idx="106">
                  <c:v>4354</c:v>
                </c:pt>
                <c:pt idx="107">
                  <c:v>4447</c:v>
                </c:pt>
                <c:pt idx="108">
                  <c:v>4331</c:v>
                </c:pt>
                <c:pt idx="109">
                  <c:v>4251</c:v>
                </c:pt>
                <c:pt idx="110">
                  <c:v>4527</c:v>
                </c:pt>
                <c:pt idx="111">
                  <c:v>4154</c:v>
                </c:pt>
                <c:pt idx="112">
                  <c:v>4152</c:v>
                </c:pt>
                <c:pt idx="113">
                  <c:v>4009</c:v>
                </c:pt>
                <c:pt idx="114">
                  <c:v>4095</c:v>
                </c:pt>
                <c:pt idx="115">
                  <c:v>4046</c:v>
                </c:pt>
                <c:pt idx="116">
                  <c:v>3876</c:v>
                </c:pt>
                <c:pt idx="117">
                  <c:v>3804</c:v>
                </c:pt>
                <c:pt idx="118">
                  <c:v>3787</c:v>
                </c:pt>
                <c:pt idx="119">
                  <c:v>3619</c:v>
                </c:pt>
                <c:pt idx="120">
                  <c:v>3749</c:v>
                </c:pt>
                <c:pt idx="121">
                  <c:v>3723</c:v>
                </c:pt>
                <c:pt idx="122">
                  <c:v>3631</c:v>
                </c:pt>
                <c:pt idx="123">
                  <c:v>3573</c:v>
                </c:pt>
                <c:pt idx="124">
                  <c:v>3540</c:v>
                </c:pt>
                <c:pt idx="125">
                  <c:v>3451</c:v>
                </c:pt>
                <c:pt idx="126">
                  <c:v>3396</c:v>
                </c:pt>
                <c:pt idx="127">
                  <c:v>3363</c:v>
                </c:pt>
                <c:pt idx="128">
                  <c:v>3365</c:v>
                </c:pt>
                <c:pt idx="129">
                  <c:v>3244</c:v>
                </c:pt>
                <c:pt idx="130">
                  <c:v>3359</c:v>
                </c:pt>
                <c:pt idx="131">
                  <c:v>3102</c:v>
                </c:pt>
                <c:pt idx="132">
                  <c:v>3210</c:v>
                </c:pt>
                <c:pt idx="133">
                  <c:v>3127</c:v>
                </c:pt>
                <c:pt idx="134">
                  <c:v>3101</c:v>
                </c:pt>
                <c:pt idx="135">
                  <c:v>3001</c:v>
                </c:pt>
                <c:pt idx="136">
                  <c:v>2978</c:v>
                </c:pt>
                <c:pt idx="137">
                  <c:v>2942</c:v>
                </c:pt>
                <c:pt idx="138">
                  <c:v>2854</c:v>
                </c:pt>
                <c:pt idx="139">
                  <c:v>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5-6D40-9097-C79B189D4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01936"/>
        <c:axId val="1918746767"/>
      </c:lineChart>
      <c:catAx>
        <c:axId val="2043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46767"/>
        <c:crosses val="autoZero"/>
        <c:auto val="1"/>
        <c:lblAlgn val="ctr"/>
        <c:lblOffset val="100"/>
        <c:noMultiLvlLbl val="0"/>
      </c:catAx>
      <c:valAx>
        <c:axId val="19187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Number</a:t>
            </a:r>
            <a:r>
              <a:rPr lang="en-GB" b="1" baseline="0"/>
              <a:t> of businesses by turnover band around the registration threshold, 2018-19</a:t>
            </a:r>
            <a:endParaRPr lang="en-GB" b="1"/>
          </a:p>
        </c:rich>
      </c:tx>
      <c:layout>
        <c:manualLayout>
          <c:xMode val="edge"/>
          <c:yMode val="edge"/>
          <c:x val="0.14232058657382321"/>
          <c:y val="2.0833333333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'66-96k'!$C$7</c:f>
              <c:strCache>
                <c:ptCount val="1"/>
                <c:pt idx="0">
                  <c:v>Sole Traders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'66-96k'!$C$8:$C$37</c:f>
              <c:numCache>
                <c:formatCode>_(* #,##0_);_(* \(#,##0\);_(* "-"??_);_(@_)</c:formatCode>
                <c:ptCount val="30"/>
                <c:pt idx="0">
                  <c:v>8648</c:v>
                </c:pt>
                <c:pt idx="1">
                  <c:v>8568</c:v>
                </c:pt>
                <c:pt idx="2">
                  <c:v>8356</c:v>
                </c:pt>
                <c:pt idx="3">
                  <c:v>8208</c:v>
                </c:pt>
                <c:pt idx="4">
                  <c:v>8325</c:v>
                </c:pt>
                <c:pt idx="5">
                  <c:v>7587</c:v>
                </c:pt>
                <c:pt idx="6">
                  <c:v>7461</c:v>
                </c:pt>
                <c:pt idx="7">
                  <c:v>7177</c:v>
                </c:pt>
                <c:pt idx="8">
                  <c:v>6978</c:v>
                </c:pt>
                <c:pt idx="9">
                  <c:v>7111</c:v>
                </c:pt>
                <c:pt idx="10">
                  <c:v>6739</c:v>
                </c:pt>
                <c:pt idx="11">
                  <c:v>6569</c:v>
                </c:pt>
                <c:pt idx="12">
                  <c:v>6823</c:v>
                </c:pt>
                <c:pt idx="13">
                  <c:v>6961</c:v>
                </c:pt>
                <c:pt idx="14">
                  <c:v>6810</c:v>
                </c:pt>
                <c:pt idx="15">
                  <c:v>6857</c:v>
                </c:pt>
                <c:pt idx="16">
                  <c:v>7172</c:v>
                </c:pt>
                <c:pt idx="17">
                  <c:v>7790</c:v>
                </c:pt>
                <c:pt idx="18">
                  <c:v>8662</c:v>
                </c:pt>
                <c:pt idx="19">
                  <c:v>2929</c:v>
                </c:pt>
                <c:pt idx="20">
                  <c:v>2830</c:v>
                </c:pt>
                <c:pt idx="21">
                  <c:v>2720</c:v>
                </c:pt>
                <c:pt idx="22">
                  <c:v>2707</c:v>
                </c:pt>
                <c:pt idx="23">
                  <c:v>2659</c:v>
                </c:pt>
                <c:pt idx="24">
                  <c:v>2568</c:v>
                </c:pt>
                <c:pt idx="25">
                  <c:v>2530</c:v>
                </c:pt>
                <c:pt idx="26">
                  <c:v>2449</c:v>
                </c:pt>
                <c:pt idx="27">
                  <c:v>2333</c:v>
                </c:pt>
                <c:pt idx="28">
                  <c:v>2377</c:v>
                </c:pt>
                <c:pt idx="29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3-A04F-B160-EDB30175580D}"/>
            </c:ext>
          </c:extLst>
        </c:ser>
        <c:ser>
          <c:idx val="1"/>
          <c:order val="1"/>
          <c:tx>
            <c:strRef>
              <c:f>'66-96k'!$D$7</c:f>
              <c:strCache>
                <c:ptCount val="1"/>
                <c:pt idx="0">
                  <c:v>Partnerships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'66-96k'!$D$8:$D$37</c:f>
              <c:numCache>
                <c:formatCode>_(* #,##0_);_(* \(#,##0\);_(* "-"??_);_(@_)</c:formatCode>
                <c:ptCount val="30"/>
                <c:pt idx="0">
                  <c:v>1325</c:v>
                </c:pt>
                <c:pt idx="1">
                  <c:v>1304</c:v>
                </c:pt>
                <c:pt idx="2">
                  <c:v>1367</c:v>
                </c:pt>
                <c:pt idx="3">
                  <c:v>1406</c:v>
                </c:pt>
                <c:pt idx="4">
                  <c:v>1439</c:v>
                </c:pt>
                <c:pt idx="5">
                  <c:v>1324</c:v>
                </c:pt>
                <c:pt idx="6">
                  <c:v>1317</c:v>
                </c:pt>
                <c:pt idx="7">
                  <c:v>1262</c:v>
                </c:pt>
                <c:pt idx="8">
                  <c:v>1330</c:v>
                </c:pt>
                <c:pt idx="9">
                  <c:v>1339</c:v>
                </c:pt>
                <c:pt idx="10">
                  <c:v>1335</c:v>
                </c:pt>
                <c:pt idx="11">
                  <c:v>1295</c:v>
                </c:pt>
                <c:pt idx="12">
                  <c:v>1361</c:v>
                </c:pt>
                <c:pt idx="13">
                  <c:v>1385</c:v>
                </c:pt>
                <c:pt idx="14">
                  <c:v>1471</c:v>
                </c:pt>
                <c:pt idx="15">
                  <c:v>1366</c:v>
                </c:pt>
                <c:pt idx="16">
                  <c:v>1502</c:v>
                </c:pt>
                <c:pt idx="17">
                  <c:v>1649</c:v>
                </c:pt>
                <c:pt idx="18">
                  <c:v>1635</c:v>
                </c:pt>
                <c:pt idx="19">
                  <c:v>799</c:v>
                </c:pt>
                <c:pt idx="20">
                  <c:v>755</c:v>
                </c:pt>
                <c:pt idx="21">
                  <c:v>746</c:v>
                </c:pt>
                <c:pt idx="22">
                  <c:v>763</c:v>
                </c:pt>
                <c:pt idx="23">
                  <c:v>739</c:v>
                </c:pt>
                <c:pt idx="24">
                  <c:v>699</c:v>
                </c:pt>
                <c:pt idx="25">
                  <c:v>732</c:v>
                </c:pt>
                <c:pt idx="26">
                  <c:v>674</c:v>
                </c:pt>
                <c:pt idx="27">
                  <c:v>667</c:v>
                </c:pt>
                <c:pt idx="28">
                  <c:v>711</c:v>
                </c:pt>
                <c:pt idx="29">
                  <c:v>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3-A04F-B160-EDB30175580D}"/>
            </c:ext>
          </c:extLst>
        </c:ser>
        <c:ser>
          <c:idx val="2"/>
          <c:order val="2"/>
          <c:tx>
            <c:strRef>
              <c:f>'66-96k'!$E$7</c:f>
              <c:strCache>
                <c:ptCount val="1"/>
                <c:pt idx="0">
                  <c:v>Companies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'66-96k'!$E$8:$E$37</c:f>
              <c:numCache>
                <c:formatCode>_(* #,##0_);_(* \(#,##0\);_(* "-"??_);_(@_)</c:formatCode>
                <c:ptCount val="30"/>
                <c:pt idx="0">
                  <c:v>9222</c:v>
                </c:pt>
                <c:pt idx="1">
                  <c:v>8947</c:v>
                </c:pt>
                <c:pt idx="2">
                  <c:v>9189</c:v>
                </c:pt>
                <c:pt idx="3">
                  <c:v>9014</c:v>
                </c:pt>
                <c:pt idx="4">
                  <c:v>9482</c:v>
                </c:pt>
                <c:pt idx="5">
                  <c:v>9094</c:v>
                </c:pt>
                <c:pt idx="6">
                  <c:v>9185</c:v>
                </c:pt>
                <c:pt idx="7">
                  <c:v>8915</c:v>
                </c:pt>
                <c:pt idx="8">
                  <c:v>8829</c:v>
                </c:pt>
                <c:pt idx="9">
                  <c:v>9328</c:v>
                </c:pt>
                <c:pt idx="10">
                  <c:v>8797</c:v>
                </c:pt>
                <c:pt idx="11">
                  <c:v>8922</c:v>
                </c:pt>
                <c:pt idx="12">
                  <c:v>9202</c:v>
                </c:pt>
                <c:pt idx="13">
                  <c:v>9427</c:v>
                </c:pt>
                <c:pt idx="14">
                  <c:v>9425</c:v>
                </c:pt>
                <c:pt idx="15">
                  <c:v>9373</c:v>
                </c:pt>
                <c:pt idx="16">
                  <c:v>9886</c:v>
                </c:pt>
                <c:pt idx="17">
                  <c:v>10163</c:v>
                </c:pt>
                <c:pt idx="18">
                  <c:v>10084</c:v>
                </c:pt>
                <c:pt idx="19">
                  <c:v>6707</c:v>
                </c:pt>
                <c:pt idx="20">
                  <c:v>6282</c:v>
                </c:pt>
                <c:pt idx="21">
                  <c:v>6166</c:v>
                </c:pt>
                <c:pt idx="22">
                  <c:v>6137</c:v>
                </c:pt>
                <c:pt idx="23">
                  <c:v>5945</c:v>
                </c:pt>
                <c:pt idx="24">
                  <c:v>6129</c:v>
                </c:pt>
                <c:pt idx="25">
                  <c:v>5939</c:v>
                </c:pt>
                <c:pt idx="26">
                  <c:v>5961</c:v>
                </c:pt>
                <c:pt idx="27">
                  <c:v>5819</c:v>
                </c:pt>
                <c:pt idx="28">
                  <c:v>5878</c:v>
                </c:pt>
                <c:pt idx="29">
                  <c:v>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3-A04F-B160-EDB30175580D}"/>
            </c:ext>
          </c:extLst>
        </c:ser>
        <c:ser>
          <c:idx val="3"/>
          <c:order val="3"/>
          <c:tx>
            <c:strRef>
              <c:f>'66-96k'!$F$7</c:f>
              <c:strCache>
                <c:ptCount val="1"/>
                <c:pt idx="0">
                  <c:v>STs extrap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'66-96k'!$F$8:$F$37</c:f>
              <c:numCache>
                <c:formatCode>_(* #,##0_);_(* \(#,##0\);_(* "-"??_);_(@_)</c:formatCode>
                <c:ptCount val="30"/>
                <c:pt idx="0">
                  <c:v>8648</c:v>
                </c:pt>
                <c:pt idx="1">
                  <c:v>8568</c:v>
                </c:pt>
                <c:pt idx="2">
                  <c:v>8356</c:v>
                </c:pt>
                <c:pt idx="3">
                  <c:v>8208</c:v>
                </c:pt>
                <c:pt idx="4">
                  <c:v>8325</c:v>
                </c:pt>
                <c:pt idx="5">
                  <c:v>7587</c:v>
                </c:pt>
                <c:pt idx="6">
                  <c:v>7461</c:v>
                </c:pt>
                <c:pt idx="7">
                  <c:v>7177</c:v>
                </c:pt>
                <c:pt idx="8">
                  <c:v>6978</c:v>
                </c:pt>
                <c:pt idx="9">
                  <c:v>7111</c:v>
                </c:pt>
                <c:pt idx="10">
                  <c:v>6739</c:v>
                </c:pt>
                <c:pt idx="11">
                  <c:v>6504</c:v>
                </c:pt>
                <c:pt idx="12">
                  <c:v>6269</c:v>
                </c:pt>
                <c:pt idx="13">
                  <c:v>6034</c:v>
                </c:pt>
                <c:pt idx="14">
                  <c:v>5799</c:v>
                </c:pt>
                <c:pt idx="15">
                  <c:v>5564</c:v>
                </c:pt>
                <c:pt idx="16">
                  <c:v>5329</c:v>
                </c:pt>
                <c:pt idx="17">
                  <c:v>5094</c:v>
                </c:pt>
                <c:pt idx="18">
                  <c:v>4859</c:v>
                </c:pt>
                <c:pt idx="19">
                  <c:v>4624</c:v>
                </c:pt>
                <c:pt idx="20">
                  <c:v>4389</c:v>
                </c:pt>
                <c:pt idx="21">
                  <c:v>4154</c:v>
                </c:pt>
                <c:pt idx="22">
                  <c:v>3919</c:v>
                </c:pt>
                <c:pt idx="23">
                  <c:v>3684</c:v>
                </c:pt>
                <c:pt idx="24">
                  <c:v>3449</c:v>
                </c:pt>
                <c:pt idx="25">
                  <c:v>3214</c:v>
                </c:pt>
                <c:pt idx="26">
                  <c:v>2979</c:v>
                </c:pt>
                <c:pt idx="27">
                  <c:v>2744</c:v>
                </c:pt>
                <c:pt idx="28">
                  <c:v>2509</c:v>
                </c:pt>
                <c:pt idx="29">
                  <c:v>2274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9-964D-85E8-12DDFAB931F2}"/>
            </c:ext>
          </c:extLst>
        </c:ser>
        <c:ser>
          <c:idx val="4"/>
          <c:order val="4"/>
          <c:tx>
            <c:strRef>
              <c:f>'66-96k'!$H$7</c:f>
              <c:strCache>
                <c:ptCount val="1"/>
                <c:pt idx="0">
                  <c:v>Cs extrap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'66-96k'!$H$8:$H$37</c:f>
              <c:numCache>
                <c:formatCode>_(* #,##0_);_(* \(#,##0\);_(* "-"??_);_(@_)</c:formatCode>
                <c:ptCount val="30"/>
                <c:pt idx="0">
                  <c:v>9222</c:v>
                </c:pt>
                <c:pt idx="1">
                  <c:v>8947</c:v>
                </c:pt>
                <c:pt idx="2">
                  <c:v>9189</c:v>
                </c:pt>
                <c:pt idx="3">
                  <c:v>9014</c:v>
                </c:pt>
                <c:pt idx="4">
                  <c:v>9482</c:v>
                </c:pt>
                <c:pt idx="5">
                  <c:v>9094</c:v>
                </c:pt>
                <c:pt idx="6">
                  <c:v>9185</c:v>
                </c:pt>
                <c:pt idx="7">
                  <c:v>8915</c:v>
                </c:pt>
                <c:pt idx="8">
                  <c:v>8829</c:v>
                </c:pt>
                <c:pt idx="9">
                  <c:v>9328</c:v>
                </c:pt>
                <c:pt idx="10">
                  <c:v>8797</c:v>
                </c:pt>
                <c:pt idx="11">
                  <c:v>8637</c:v>
                </c:pt>
                <c:pt idx="12">
                  <c:v>8477</c:v>
                </c:pt>
                <c:pt idx="13">
                  <c:v>8317</c:v>
                </c:pt>
                <c:pt idx="14">
                  <c:v>8157</c:v>
                </c:pt>
                <c:pt idx="15">
                  <c:v>7997</c:v>
                </c:pt>
                <c:pt idx="16">
                  <c:v>7837</c:v>
                </c:pt>
                <c:pt idx="17">
                  <c:v>7677</c:v>
                </c:pt>
                <c:pt idx="18">
                  <c:v>7517</c:v>
                </c:pt>
                <c:pt idx="19">
                  <c:v>7357</c:v>
                </c:pt>
                <c:pt idx="20">
                  <c:v>7197</c:v>
                </c:pt>
                <c:pt idx="21">
                  <c:v>7037</c:v>
                </c:pt>
                <c:pt idx="22">
                  <c:v>6877</c:v>
                </c:pt>
                <c:pt idx="23">
                  <c:v>6717</c:v>
                </c:pt>
                <c:pt idx="24">
                  <c:v>6557</c:v>
                </c:pt>
                <c:pt idx="25">
                  <c:v>6397</c:v>
                </c:pt>
                <c:pt idx="26">
                  <c:v>6237</c:v>
                </c:pt>
                <c:pt idx="27">
                  <c:v>6077</c:v>
                </c:pt>
                <c:pt idx="28">
                  <c:v>5917</c:v>
                </c:pt>
                <c:pt idx="29">
                  <c:v>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9-964D-85E8-12DDFAB931F2}"/>
            </c:ext>
          </c:extLst>
        </c:ser>
        <c:ser>
          <c:idx val="5"/>
          <c:order val="5"/>
          <c:tx>
            <c:strRef>
              <c:f>'66-96k'!$G$7</c:f>
              <c:strCache>
                <c:ptCount val="1"/>
                <c:pt idx="0">
                  <c:v>Pships extrap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'66-96k'!$G$8:$G$37</c:f>
              <c:numCache>
                <c:formatCode>_(* #,##0_);_(* \(#,##0\);_(* "-"??_);_(@_)</c:formatCode>
                <c:ptCount val="30"/>
                <c:pt idx="0">
                  <c:v>1325</c:v>
                </c:pt>
                <c:pt idx="1">
                  <c:v>1304</c:v>
                </c:pt>
                <c:pt idx="2">
                  <c:v>1367</c:v>
                </c:pt>
                <c:pt idx="3">
                  <c:v>1406</c:v>
                </c:pt>
                <c:pt idx="4">
                  <c:v>1439</c:v>
                </c:pt>
                <c:pt idx="5">
                  <c:v>1324</c:v>
                </c:pt>
                <c:pt idx="6">
                  <c:v>1317</c:v>
                </c:pt>
                <c:pt idx="7">
                  <c:v>1262</c:v>
                </c:pt>
                <c:pt idx="8">
                  <c:v>1330</c:v>
                </c:pt>
                <c:pt idx="9">
                  <c:v>1339</c:v>
                </c:pt>
                <c:pt idx="10">
                  <c:v>1335</c:v>
                </c:pt>
                <c:pt idx="11">
                  <c:v>1300.2</c:v>
                </c:pt>
                <c:pt idx="12">
                  <c:v>1265.4000000000001</c:v>
                </c:pt>
                <c:pt idx="13">
                  <c:v>1230.6000000000001</c:v>
                </c:pt>
                <c:pt idx="14">
                  <c:v>1195.8000000000002</c:v>
                </c:pt>
                <c:pt idx="15">
                  <c:v>1161.0000000000002</c:v>
                </c:pt>
                <c:pt idx="16">
                  <c:v>1126.2000000000003</c:v>
                </c:pt>
                <c:pt idx="17">
                  <c:v>1091.4000000000003</c:v>
                </c:pt>
                <c:pt idx="18">
                  <c:v>1056.6000000000004</c:v>
                </c:pt>
                <c:pt idx="19">
                  <c:v>1021.8000000000004</c:v>
                </c:pt>
                <c:pt idx="20">
                  <c:v>987.00000000000045</c:v>
                </c:pt>
                <c:pt idx="21">
                  <c:v>952.2000000000005</c:v>
                </c:pt>
                <c:pt idx="22">
                  <c:v>917.40000000000055</c:v>
                </c:pt>
                <c:pt idx="23">
                  <c:v>882.60000000000059</c:v>
                </c:pt>
                <c:pt idx="24">
                  <c:v>847.80000000000064</c:v>
                </c:pt>
                <c:pt idx="25">
                  <c:v>813.00000000000068</c:v>
                </c:pt>
                <c:pt idx="26">
                  <c:v>778.20000000000073</c:v>
                </c:pt>
                <c:pt idx="27">
                  <c:v>743.40000000000077</c:v>
                </c:pt>
                <c:pt idx="28">
                  <c:v>708.60000000000082</c:v>
                </c:pt>
                <c:pt idx="29">
                  <c:v>673.80000000000086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9-964D-85E8-12DDFAB93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01936"/>
        <c:axId val="1918746767"/>
      </c:lineChart>
      <c:catAx>
        <c:axId val="2043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46767"/>
        <c:crosses val="autoZero"/>
        <c:auto val="1"/>
        <c:lblAlgn val="ctr"/>
        <c:lblOffset val="100"/>
        <c:noMultiLvlLbl val="0"/>
      </c:catAx>
      <c:valAx>
        <c:axId val="19187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Number</a:t>
            </a:r>
            <a:r>
              <a:rPr lang="en-GB" b="1" baseline="0"/>
              <a:t> of businesses by turnover band around the registration threshold, 2018-19</a:t>
            </a:r>
            <a:endParaRPr lang="en-GB" b="1"/>
          </a:p>
        </c:rich>
      </c:tx>
      <c:layout>
        <c:manualLayout>
          <c:xMode val="edge"/>
          <c:yMode val="edge"/>
          <c:x val="0.14232058657382321"/>
          <c:y val="2.0833333333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'66-96k'!$C$7</c:f>
              <c:strCache>
                <c:ptCount val="1"/>
                <c:pt idx="0">
                  <c:v>Sole Traders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'66-96k'!$C$8:$C$37</c:f>
              <c:numCache>
                <c:formatCode>_(* #,##0_);_(* \(#,##0\);_(* "-"??_);_(@_)</c:formatCode>
                <c:ptCount val="30"/>
                <c:pt idx="0">
                  <c:v>8648</c:v>
                </c:pt>
                <c:pt idx="1">
                  <c:v>8568</c:v>
                </c:pt>
                <c:pt idx="2">
                  <c:v>8356</c:v>
                </c:pt>
                <c:pt idx="3">
                  <c:v>8208</c:v>
                </c:pt>
                <c:pt idx="4">
                  <c:v>8325</c:v>
                </c:pt>
                <c:pt idx="5">
                  <c:v>7587</c:v>
                </c:pt>
                <c:pt idx="6">
                  <c:v>7461</c:v>
                </c:pt>
                <c:pt idx="7">
                  <c:v>7177</c:v>
                </c:pt>
                <c:pt idx="8">
                  <c:v>6978</c:v>
                </c:pt>
                <c:pt idx="9">
                  <c:v>7111</c:v>
                </c:pt>
                <c:pt idx="10">
                  <c:v>6739</c:v>
                </c:pt>
                <c:pt idx="11">
                  <c:v>6569</c:v>
                </c:pt>
                <c:pt idx="12">
                  <c:v>6823</c:v>
                </c:pt>
                <c:pt idx="13">
                  <c:v>6961</c:v>
                </c:pt>
                <c:pt idx="14">
                  <c:v>6810</c:v>
                </c:pt>
                <c:pt idx="15">
                  <c:v>6857</c:v>
                </c:pt>
                <c:pt idx="16">
                  <c:v>7172</c:v>
                </c:pt>
                <c:pt idx="17">
                  <c:v>7790</c:v>
                </c:pt>
                <c:pt idx="18">
                  <c:v>8662</c:v>
                </c:pt>
                <c:pt idx="19">
                  <c:v>2929</c:v>
                </c:pt>
                <c:pt idx="20">
                  <c:v>2830</c:v>
                </c:pt>
                <c:pt idx="21">
                  <c:v>2720</c:v>
                </c:pt>
                <c:pt idx="22">
                  <c:v>2707</c:v>
                </c:pt>
                <c:pt idx="23">
                  <c:v>2659</c:v>
                </c:pt>
                <c:pt idx="24">
                  <c:v>2568</c:v>
                </c:pt>
                <c:pt idx="25">
                  <c:v>2530</c:v>
                </c:pt>
                <c:pt idx="26">
                  <c:v>2449</c:v>
                </c:pt>
                <c:pt idx="27">
                  <c:v>2333</c:v>
                </c:pt>
                <c:pt idx="28">
                  <c:v>2377</c:v>
                </c:pt>
                <c:pt idx="29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8941-8566-537E9FB89E35}"/>
            </c:ext>
          </c:extLst>
        </c:ser>
        <c:ser>
          <c:idx val="1"/>
          <c:order val="1"/>
          <c:tx>
            <c:strRef>
              <c:f>'66-96k'!$D$7</c:f>
              <c:strCache>
                <c:ptCount val="1"/>
                <c:pt idx="0">
                  <c:v>Partnerships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'66-96k'!$D$8:$D$37</c:f>
              <c:numCache>
                <c:formatCode>_(* #,##0_);_(* \(#,##0\);_(* "-"??_);_(@_)</c:formatCode>
                <c:ptCount val="30"/>
                <c:pt idx="0">
                  <c:v>1325</c:v>
                </c:pt>
                <c:pt idx="1">
                  <c:v>1304</c:v>
                </c:pt>
                <c:pt idx="2">
                  <c:v>1367</c:v>
                </c:pt>
                <c:pt idx="3">
                  <c:v>1406</c:v>
                </c:pt>
                <c:pt idx="4">
                  <c:v>1439</c:v>
                </c:pt>
                <c:pt idx="5">
                  <c:v>1324</c:v>
                </c:pt>
                <c:pt idx="6">
                  <c:v>1317</c:v>
                </c:pt>
                <c:pt idx="7">
                  <c:v>1262</c:v>
                </c:pt>
                <c:pt idx="8">
                  <c:v>1330</c:v>
                </c:pt>
                <c:pt idx="9">
                  <c:v>1339</c:v>
                </c:pt>
                <c:pt idx="10">
                  <c:v>1335</c:v>
                </c:pt>
                <c:pt idx="11">
                  <c:v>1295</c:v>
                </c:pt>
                <c:pt idx="12">
                  <c:v>1361</c:v>
                </c:pt>
                <c:pt idx="13">
                  <c:v>1385</c:v>
                </c:pt>
                <c:pt idx="14">
                  <c:v>1471</c:v>
                </c:pt>
                <c:pt idx="15">
                  <c:v>1366</c:v>
                </c:pt>
                <c:pt idx="16">
                  <c:v>1502</c:v>
                </c:pt>
                <c:pt idx="17">
                  <c:v>1649</c:v>
                </c:pt>
                <c:pt idx="18">
                  <c:v>1635</c:v>
                </c:pt>
                <c:pt idx="19">
                  <c:v>799</c:v>
                </c:pt>
                <c:pt idx="20">
                  <c:v>755</c:v>
                </c:pt>
                <c:pt idx="21">
                  <c:v>746</c:v>
                </c:pt>
                <c:pt idx="22">
                  <c:v>763</c:v>
                </c:pt>
                <c:pt idx="23">
                  <c:v>739</c:v>
                </c:pt>
                <c:pt idx="24">
                  <c:v>699</c:v>
                </c:pt>
                <c:pt idx="25">
                  <c:v>732</c:v>
                </c:pt>
                <c:pt idx="26">
                  <c:v>674</c:v>
                </c:pt>
                <c:pt idx="27">
                  <c:v>667</c:v>
                </c:pt>
                <c:pt idx="28">
                  <c:v>711</c:v>
                </c:pt>
                <c:pt idx="29">
                  <c:v>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8941-8566-537E9FB89E35}"/>
            </c:ext>
          </c:extLst>
        </c:ser>
        <c:ser>
          <c:idx val="2"/>
          <c:order val="2"/>
          <c:tx>
            <c:strRef>
              <c:f>'66-96k'!$E$7</c:f>
              <c:strCache>
                <c:ptCount val="1"/>
                <c:pt idx="0">
                  <c:v>Companies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'66-96k'!$B$8:$B$37</c:f>
              <c:strCache>
                <c:ptCount val="30"/>
                <c:pt idx="0">
                  <c:v>£66-67k</c:v>
                </c:pt>
                <c:pt idx="1">
                  <c:v>£67-68k</c:v>
                </c:pt>
                <c:pt idx="2">
                  <c:v>£68-69k</c:v>
                </c:pt>
                <c:pt idx="3">
                  <c:v>£69-70k</c:v>
                </c:pt>
                <c:pt idx="4">
                  <c:v>£70-71k</c:v>
                </c:pt>
                <c:pt idx="5">
                  <c:v>£71-72k</c:v>
                </c:pt>
                <c:pt idx="6">
                  <c:v>£72-73k</c:v>
                </c:pt>
                <c:pt idx="7">
                  <c:v>£73-74k</c:v>
                </c:pt>
                <c:pt idx="8">
                  <c:v>£74-75k</c:v>
                </c:pt>
                <c:pt idx="9">
                  <c:v>£75-76k</c:v>
                </c:pt>
                <c:pt idx="10">
                  <c:v>£76-77k</c:v>
                </c:pt>
                <c:pt idx="11">
                  <c:v>£77-78k</c:v>
                </c:pt>
                <c:pt idx="12">
                  <c:v>£78-79k</c:v>
                </c:pt>
                <c:pt idx="13">
                  <c:v>£79-80k</c:v>
                </c:pt>
                <c:pt idx="14">
                  <c:v>£80-81k</c:v>
                </c:pt>
                <c:pt idx="15">
                  <c:v>£81-82k</c:v>
                </c:pt>
                <c:pt idx="16">
                  <c:v>£82-83k</c:v>
                </c:pt>
                <c:pt idx="17">
                  <c:v>£83-84k</c:v>
                </c:pt>
                <c:pt idx="18">
                  <c:v>£84-85k</c:v>
                </c:pt>
                <c:pt idx="19">
                  <c:v>£85-86k</c:v>
                </c:pt>
                <c:pt idx="20">
                  <c:v>£86-87k</c:v>
                </c:pt>
                <c:pt idx="21">
                  <c:v>£87-88k</c:v>
                </c:pt>
                <c:pt idx="22">
                  <c:v>£88-89k</c:v>
                </c:pt>
                <c:pt idx="23">
                  <c:v>£89-90k</c:v>
                </c:pt>
                <c:pt idx="24">
                  <c:v>£90-91k</c:v>
                </c:pt>
                <c:pt idx="25">
                  <c:v>£91-92k</c:v>
                </c:pt>
                <c:pt idx="26">
                  <c:v>£92-93k</c:v>
                </c:pt>
                <c:pt idx="27">
                  <c:v>£93-94k</c:v>
                </c:pt>
                <c:pt idx="28">
                  <c:v>£94-95k</c:v>
                </c:pt>
                <c:pt idx="29">
                  <c:v>£95-96k</c:v>
                </c:pt>
              </c:strCache>
            </c:strRef>
          </c:cat>
          <c:val>
            <c:numRef>
              <c:f>'66-96k'!$E$8:$E$37</c:f>
              <c:numCache>
                <c:formatCode>_(* #,##0_);_(* \(#,##0\);_(* "-"??_);_(@_)</c:formatCode>
                <c:ptCount val="30"/>
                <c:pt idx="0">
                  <c:v>9222</c:v>
                </c:pt>
                <c:pt idx="1">
                  <c:v>8947</c:v>
                </c:pt>
                <c:pt idx="2">
                  <c:v>9189</c:v>
                </c:pt>
                <c:pt idx="3">
                  <c:v>9014</c:v>
                </c:pt>
                <c:pt idx="4">
                  <c:v>9482</c:v>
                </c:pt>
                <c:pt idx="5">
                  <c:v>9094</c:v>
                </c:pt>
                <c:pt idx="6">
                  <c:v>9185</c:v>
                </c:pt>
                <c:pt idx="7">
                  <c:v>8915</c:v>
                </c:pt>
                <c:pt idx="8">
                  <c:v>8829</c:v>
                </c:pt>
                <c:pt idx="9">
                  <c:v>9328</c:v>
                </c:pt>
                <c:pt idx="10">
                  <c:v>8797</c:v>
                </c:pt>
                <c:pt idx="11">
                  <c:v>8922</c:v>
                </c:pt>
                <c:pt idx="12">
                  <c:v>9202</c:v>
                </c:pt>
                <c:pt idx="13">
                  <c:v>9427</c:v>
                </c:pt>
                <c:pt idx="14">
                  <c:v>9425</c:v>
                </c:pt>
                <c:pt idx="15">
                  <c:v>9373</c:v>
                </c:pt>
                <c:pt idx="16">
                  <c:v>9886</c:v>
                </c:pt>
                <c:pt idx="17">
                  <c:v>10163</c:v>
                </c:pt>
                <c:pt idx="18">
                  <c:v>10084</c:v>
                </c:pt>
                <c:pt idx="19">
                  <c:v>6707</c:v>
                </c:pt>
                <c:pt idx="20">
                  <c:v>6282</c:v>
                </c:pt>
                <c:pt idx="21">
                  <c:v>6166</c:v>
                </c:pt>
                <c:pt idx="22">
                  <c:v>6137</c:v>
                </c:pt>
                <c:pt idx="23">
                  <c:v>5945</c:v>
                </c:pt>
                <c:pt idx="24">
                  <c:v>6129</c:v>
                </c:pt>
                <c:pt idx="25">
                  <c:v>5939</c:v>
                </c:pt>
                <c:pt idx="26">
                  <c:v>5961</c:v>
                </c:pt>
                <c:pt idx="27">
                  <c:v>5819</c:v>
                </c:pt>
                <c:pt idx="28">
                  <c:v>5878</c:v>
                </c:pt>
                <c:pt idx="29">
                  <c:v>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8-8941-8566-537E9FB89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01936"/>
        <c:axId val="1918746767"/>
      </c:lineChart>
      <c:catAx>
        <c:axId val="2043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46767"/>
        <c:crosses val="autoZero"/>
        <c:auto val="1"/>
        <c:lblAlgn val="ctr"/>
        <c:lblOffset val="100"/>
        <c:noMultiLvlLbl val="0"/>
      </c:catAx>
      <c:valAx>
        <c:axId val="19187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774700</xdr:colOff>
      <xdr:row>3</xdr:row>
      <xdr:rowOff>127000</xdr:rowOff>
    </xdr:from>
    <xdr:to>
      <xdr:col>20</xdr:col>
      <xdr:colOff>215900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07E1F-AAC2-CB40-8F7D-C250BD0A1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6</xdr:row>
      <xdr:rowOff>114300</xdr:rowOff>
    </xdr:from>
    <xdr:to>
      <xdr:col>19</xdr:col>
      <xdr:colOff>101600</xdr:colOff>
      <xdr:row>36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BFB043-A19D-135B-003F-D36367E27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11</xdr:col>
      <xdr:colOff>647700</xdr:colOff>
      <xdr:row>73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87310-8ED3-B445-AACA-1C8916F44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0.88433</cdr:x>
      <cdr:y>0.0162</cdr:y>
    </cdr:from>
    <cdr:to>
      <cdr:x>0.98243</cdr:x>
      <cdr:y>0.06961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58F5B0B9-ACF9-BE14-D6A0-E8BD9494858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670800" y="88900"/>
          <a:ext cx="850900" cy="29299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0.53148</cdr:x>
      <cdr:y>0.25417</cdr:y>
    </cdr:from>
    <cdr:to>
      <cdr:x>0.62958</cdr:x>
      <cdr:y>0.33542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C82200-282A-3C28-7348-282FD8C9992E}"/>
            </a:ext>
          </a:extLst>
        </cdr:cNvPr>
        <cdr:cNvSpPr txBox="1"/>
      </cdr:nvSpPr>
      <cdr:spPr>
        <a:xfrm xmlns:a="http://schemas.openxmlformats.org/drawingml/2006/main">
          <a:off x="4610100" y="1549400"/>
          <a:ext cx="85090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 b="1"/>
            <a:t>11,866</a:t>
          </a:r>
        </a:p>
      </cdr:txBody>
    </cdr:sp>
  </cdr:relSizeAnchor>
  <cdr:relSizeAnchor xmlns:cdr="http://schemas.openxmlformats.org/drawingml/2006/chartDrawing">
    <cdr:from>
      <cdr:x>0.54905</cdr:x>
      <cdr:y>0.42917</cdr:y>
    </cdr:from>
    <cdr:to>
      <cdr:x>0.64714</cdr:x>
      <cdr:y>0.51042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DBC63F1-422F-478F-D185-BC00359BA6E4}"/>
            </a:ext>
          </a:extLst>
        </cdr:cNvPr>
        <cdr:cNvSpPr txBox="1"/>
      </cdr:nvSpPr>
      <cdr:spPr>
        <a:xfrm xmlns:a="http://schemas.openxmlformats.org/drawingml/2006/main">
          <a:off x="4762500" y="2616200"/>
          <a:ext cx="85090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 b="1"/>
            <a:t>12,192</a:t>
          </a:r>
        </a:p>
      </cdr:txBody>
    </cdr:sp>
  </cdr:relSizeAnchor>
  <cdr:relSizeAnchor xmlns:cdr="http://schemas.openxmlformats.org/drawingml/2006/chartDrawing">
    <cdr:from>
      <cdr:x>0.55637</cdr:x>
      <cdr:y>0.75</cdr:y>
    </cdr:from>
    <cdr:to>
      <cdr:x>0.65447</cdr:x>
      <cdr:y>0.83125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BB7975B-AA58-2500-F53F-3C7268BE0593}"/>
            </a:ext>
          </a:extLst>
        </cdr:cNvPr>
        <cdr:cNvSpPr txBox="1"/>
      </cdr:nvSpPr>
      <cdr:spPr>
        <a:xfrm xmlns:a="http://schemas.openxmlformats.org/drawingml/2006/main">
          <a:off x="4826000" y="4572000"/>
          <a:ext cx="85090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 b="1"/>
            <a:t>2,237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0.88433</cdr:x>
      <cdr:y>0.0162</cdr:y>
    </cdr:from>
    <cdr:to>
      <cdr:x>0.98243</cdr:x>
      <cdr:y>0.06961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58F5B0B9-ACF9-BE14-D6A0-E8BD9494858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670800" y="88900"/>
          <a:ext cx="850900" cy="29299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24B6-7BE0-7842-83BC-69C7F894956B}">
  <dimension ref="A1:I144"/>
  <sheetViews>
    <sheetView workbookViewId="0">
      <selection activeCell="D2" sqref="D2"/>
    </sheetView>
  </sheetViews>
  <sheetFormatPr baseColWidth="10" defaultRowHeight="16" x14ac:dyDescent="0.2"/>
  <sheetData>
    <row r="1" spans="1:9" x14ac:dyDescent="0.2">
      <c r="A1" t="s">
        <v>0</v>
      </c>
      <c r="G1" s="1"/>
      <c r="H1" s="1"/>
      <c r="I1" s="1"/>
    </row>
    <row r="2" spans="1:9" x14ac:dyDescent="0.2">
      <c r="A2" t="s">
        <v>1</v>
      </c>
      <c r="B2" t="s">
        <v>2</v>
      </c>
      <c r="G2" s="3"/>
      <c r="H2" s="3"/>
      <c r="I2" s="3"/>
    </row>
    <row r="3" spans="1:9" x14ac:dyDescent="0.2">
      <c r="G3" s="3"/>
      <c r="H3" s="3"/>
      <c r="I3" s="3"/>
    </row>
    <row r="4" spans="1:9" s="1" customFormat="1" x14ac:dyDescent="0.2">
      <c r="A4" s="1" t="s">
        <v>3</v>
      </c>
      <c r="B4" s="1" t="s">
        <v>4</v>
      </c>
      <c r="C4" s="1" t="s">
        <v>5</v>
      </c>
      <c r="D4" s="1" t="s">
        <v>6</v>
      </c>
    </row>
    <row r="5" spans="1:9" x14ac:dyDescent="0.2">
      <c r="A5" s="4" t="s">
        <v>7</v>
      </c>
      <c r="B5" s="4">
        <v>114234</v>
      </c>
      <c r="C5" s="4">
        <v>2668</v>
      </c>
      <c r="D5" s="4">
        <v>14417</v>
      </c>
    </row>
    <row r="6" spans="1:9" x14ac:dyDescent="0.2">
      <c r="A6" s="4" t="s">
        <v>8</v>
      </c>
      <c r="B6" s="4">
        <v>109589</v>
      </c>
      <c r="C6" s="4">
        <v>2490</v>
      </c>
      <c r="D6" s="4">
        <v>13277</v>
      </c>
    </row>
    <row r="7" spans="1:9" x14ac:dyDescent="0.2">
      <c r="A7" s="4" t="s">
        <v>9</v>
      </c>
      <c r="B7" s="4">
        <v>109628</v>
      </c>
      <c r="C7" s="4">
        <v>2648</v>
      </c>
      <c r="D7" s="4">
        <v>13992</v>
      </c>
    </row>
    <row r="8" spans="1:9" x14ac:dyDescent="0.2">
      <c r="A8" s="4" t="s">
        <v>10</v>
      </c>
      <c r="B8" s="4">
        <v>97925</v>
      </c>
      <c r="C8" s="4">
        <v>2353</v>
      </c>
      <c r="D8" s="4">
        <v>12724</v>
      </c>
    </row>
    <row r="9" spans="1:9" x14ac:dyDescent="0.2">
      <c r="A9" s="4" t="s">
        <v>11</v>
      </c>
      <c r="B9" s="4">
        <v>96557</v>
      </c>
      <c r="C9" s="4">
        <v>2330</v>
      </c>
      <c r="D9" s="4">
        <v>12669</v>
      </c>
    </row>
    <row r="10" spans="1:9" x14ac:dyDescent="0.2">
      <c r="A10" s="4" t="s">
        <v>12</v>
      </c>
      <c r="B10" s="4">
        <v>95262</v>
      </c>
      <c r="C10" s="4">
        <v>2549</v>
      </c>
      <c r="D10" s="4">
        <v>13307</v>
      </c>
    </row>
    <row r="11" spans="1:9" x14ac:dyDescent="0.2">
      <c r="A11" s="4" t="s">
        <v>13</v>
      </c>
      <c r="B11" s="4">
        <v>90611</v>
      </c>
      <c r="C11" s="4">
        <v>2295</v>
      </c>
      <c r="D11" s="4">
        <v>12522</v>
      </c>
    </row>
    <row r="12" spans="1:9" x14ac:dyDescent="0.2">
      <c r="A12" s="4" t="s">
        <v>14</v>
      </c>
      <c r="B12" s="4">
        <v>86308</v>
      </c>
      <c r="C12" s="4">
        <v>2405</v>
      </c>
      <c r="D12" s="4">
        <v>12246</v>
      </c>
    </row>
    <row r="13" spans="1:9" x14ac:dyDescent="0.2">
      <c r="A13" s="4" t="s">
        <v>15</v>
      </c>
      <c r="B13" s="4">
        <v>88481</v>
      </c>
      <c r="C13" s="4">
        <v>2443</v>
      </c>
      <c r="D13" s="4">
        <v>12673</v>
      </c>
    </row>
    <row r="14" spans="1:9" x14ac:dyDescent="0.2">
      <c r="A14" s="4" t="s">
        <v>16</v>
      </c>
      <c r="B14" s="4">
        <v>84057</v>
      </c>
      <c r="C14" s="4">
        <v>2242</v>
      </c>
      <c r="D14" s="4">
        <v>12302</v>
      </c>
    </row>
    <row r="15" spans="1:9" x14ac:dyDescent="0.2">
      <c r="A15" s="4" t="s">
        <v>17</v>
      </c>
      <c r="B15" s="4">
        <v>81595</v>
      </c>
      <c r="C15" s="4">
        <v>2474</v>
      </c>
      <c r="D15" s="4">
        <v>12840</v>
      </c>
    </row>
    <row r="16" spans="1:9" x14ac:dyDescent="0.2">
      <c r="A16" s="4" t="s">
        <v>18</v>
      </c>
      <c r="B16" s="4">
        <v>78217</v>
      </c>
      <c r="C16" s="4">
        <v>2219</v>
      </c>
      <c r="D16" s="4">
        <v>12291</v>
      </c>
    </row>
    <row r="17" spans="1:4" x14ac:dyDescent="0.2">
      <c r="A17" s="4" t="s">
        <v>19</v>
      </c>
      <c r="B17" s="4">
        <v>75922</v>
      </c>
      <c r="C17" s="4">
        <v>2221</v>
      </c>
      <c r="D17" s="4">
        <v>12260</v>
      </c>
    </row>
    <row r="18" spans="1:4" x14ac:dyDescent="0.2">
      <c r="A18" s="4" t="s">
        <v>20</v>
      </c>
      <c r="B18" s="4">
        <v>72838</v>
      </c>
      <c r="C18" s="4">
        <v>2253</v>
      </c>
      <c r="D18" s="4">
        <v>12304</v>
      </c>
    </row>
    <row r="19" spans="1:4" x14ac:dyDescent="0.2">
      <c r="A19" s="4" t="s">
        <v>21</v>
      </c>
      <c r="B19" s="4">
        <v>72532</v>
      </c>
      <c r="C19" s="4">
        <v>2143</v>
      </c>
      <c r="D19" s="4">
        <v>12661</v>
      </c>
    </row>
    <row r="20" spans="1:4" x14ac:dyDescent="0.2">
      <c r="A20" s="4" t="s">
        <v>22</v>
      </c>
      <c r="B20" s="4">
        <v>68571</v>
      </c>
      <c r="C20" s="4">
        <v>2300</v>
      </c>
      <c r="D20" s="4">
        <v>12729</v>
      </c>
    </row>
    <row r="21" spans="1:4" x14ac:dyDescent="0.2">
      <c r="A21" s="4" t="s">
        <v>23</v>
      </c>
      <c r="B21" s="4">
        <v>66512</v>
      </c>
      <c r="C21" s="4">
        <v>2125</v>
      </c>
      <c r="D21" s="4">
        <v>12487</v>
      </c>
    </row>
    <row r="22" spans="1:4" x14ac:dyDescent="0.2">
      <c r="A22" s="4" t="s">
        <v>24</v>
      </c>
      <c r="B22" s="4">
        <v>62494</v>
      </c>
      <c r="C22" s="4">
        <v>1992</v>
      </c>
      <c r="D22" s="4">
        <v>12761</v>
      </c>
    </row>
    <row r="23" spans="1:4" x14ac:dyDescent="0.2">
      <c r="A23" s="4" t="s">
        <v>25</v>
      </c>
      <c r="B23" s="4">
        <v>61123</v>
      </c>
      <c r="C23" s="4">
        <v>2053</v>
      </c>
      <c r="D23" s="4">
        <v>12689</v>
      </c>
    </row>
    <row r="24" spans="1:4" x14ac:dyDescent="0.2">
      <c r="A24" s="4" t="s">
        <v>26</v>
      </c>
      <c r="B24" s="4">
        <v>57210</v>
      </c>
      <c r="C24" s="4">
        <v>2104</v>
      </c>
      <c r="D24" s="4">
        <v>12751</v>
      </c>
    </row>
    <row r="25" spans="1:4" x14ac:dyDescent="0.2">
      <c r="A25" s="4" t="s">
        <v>27</v>
      </c>
      <c r="B25" s="4">
        <v>55410</v>
      </c>
      <c r="C25" s="4">
        <v>2097</v>
      </c>
      <c r="D25" s="4">
        <v>13387</v>
      </c>
    </row>
    <row r="26" spans="1:4" x14ac:dyDescent="0.2">
      <c r="A26" s="4" t="s">
        <v>28</v>
      </c>
      <c r="B26" s="4">
        <v>52836</v>
      </c>
      <c r="C26" s="4">
        <v>2029</v>
      </c>
      <c r="D26" s="4">
        <v>12865</v>
      </c>
    </row>
    <row r="27" spans="1:4" x14ac:dyDescent="0.2">
      <c r="A27" s="4" t="s">
        <v>29</v>
      </c>
      <c r="B27" s="4">
        <v>50574</v>
      </c>
      <c r="C27" s="4">
        <v>1971</v>
      </c>
      <c r="D27" s="4">
        <v>12773</v>
      </c>
    </row>
    <row r="28" spans="1:4" x14ac:dyDescent="0.2">
      <c r="A28" s="4" t="s">
        <v>30</v>
      </c>
      <c r="B28" s="4">
        <v>46539</v>
      </c>
      <c r="C28" s="4">
        <v>1917</v>
      </c>
      <c r="D28" s="4">
        <v>12892</v>
      </c>
    </row>
    <row r="29" spans="1:4" x14ac:dyDescent="0.2">
      <c r="A29" s="4" t="s">
        <v>31</v>
      </c>
      <c r="B29" s="4">
        <v>45006</v>
      </c>
      <c r="C29" s="4">
        <v>1897</v>
      </c>
      <c r="D29" s="4">
        <v>12810</v>
      </c>
    </row>
    <row r="30" spans="1:4" x14ac:dyDescent="0.2">
      <c r="A30" s="4" t="s">
        <v>32</v>
      </c>
      <c r="B30" s="4">
        <v>43814</v>
      </c>
      <c r="C30" s="4">
        <v>1910</v>
      </c>
      <c r="D30" s="4">
        <v>12715</v>
      </c>
    </row>
    <row r="31" spans="1:4" x14ac:dyDescent="0.2">
      <c r="A31" s="4" t="s">
        <v>33</v>
      </c>
      <c r="B31" s="4">
        <v>41432</v>
      </c>
      <c r="C31" s="4">
        <v>2016</v>
      </c>
      <c r="D31" s="4">
        <v>12871</v>
      </c>
    </row>
    <row r="32" spans="1:4" x14ac:dyDescent="0.2">
      <c r="A32" s="4" t="s">
        <v>34</v>
      </c>
      <c r="B32" s="4">
        <v>38519</v>
      </c>
      <c r="C32" s="4">
        <v>1821</v>
      </c>
      <c r="D32" s="4">
        <v>12315</v>
      </c>
    </row>
    <row r="33" spans="1:4" x14ac:dyDescent="0.2">
      <c r="A33" s="4" t="s">
        <v>35</v>
      </c>
      <c r="B33" s="4">
        <v>37044</v>
      </c>
      <c r="C33" s="4">
        <v>1829</v>
      </c>
      <c r="D33" s="4">
        <v>12092</v>
      </c>
    </row>
    <row r="34" spans="1:4" x14ac:dyDescent="0.2">
      <c r="A34" s="4" t="s">
        <v>36</v>
      </c>
      <c r="B34" s="4">
        <v>35452</v>
      </c>
      <c r="C34" s="4">
        <v>1793</v>
      </c>
      <c r="D34" s="4">
        <v>11842</v>
      </c>
    </row>
    <row r="35" spans="1:4" x14ac:dyDescent="0.2">
      <c r="A35" s="4" t="s">
        <v>37</v>
      </c>
      <c r="B35" s="4">
        <v>33437</v>
      </c>
      <c r="C35" s="4">
        <v>1802</v>
      </c>
      <c r="D35" s="4">
        <v>12055</v>
      </c>
    </row>
    <row r="36" spans="1:4" x14ac:dyDescent="0.2">
      <c r="A36" s="4" t="s">
        <v>38</v>
      </c>
      <c r="B36" s="4">
        <v>30799</v>
      </c>
      <c r="C36" s="4">
        <v>1736</v>
      </c>
      <c r="D36" s="4">
        <v>11478</v>
      </c>
    </row>
    <row r="37" spans="1:4" x14ac:dyDescent="0.2">
      <c r="A37" s="4" t="s">
        <v>39</v>
      </c>
      <c r="B37" s="4">
        <v>29803</v>
      </c>
      <c r="C37" s="4">
        <v>1840</v>
      </c>
      <c r="D37" s="4">
        <v>11617</v>
      </c>
    </row>
    <row r="38" spans="1:4" x14ac:dyDescent="0.2">
      <c r="A38" s="4" t="s">
        <v>40</v>
      </c>
      <c r="B38" s="4">
        <v>27528</v>
      </c>
      <c r="C38" s="4">
        <v>1740</v>
      </c>
      <c r="D38" s="4">
        <v>11280</v>
      </c>
    </row>
    <row r="39" spans="1:4" x14ac:dyDescent="0.2">
      <c r="A39" s="4" t="s">
        <v>41</v>
      </c>
      <c r="B39" s="4">
        <v>25757</v>
      </c>
      <c r="C39" s="4">
        <v>1688</v>
      </c>
      <c r="D39" s="4">
        <v>11082</v>
      </c>
    </row>
    <row r="40" spans="1:4" x14ac:dyDescent="0.2">
      <c r="A40" s="4" t="s">
        <v>42</v>
      </c>
      <c r="B40" s="4">
        <v>25086</v>
      </c>
      <c r="C40" s="4">
        <v>1710</v>
      </c>
      <c r="D40" s="4">
        <v>11079</v>
      </c>
    </row>
    <row r="41" spans="1:4" x14ac:dyDescent="0.2">
      <c r="A41" s="4" t="s">
        <v>43</v>
      </c>
      <c r="B41" s="4">
        <v>23544</v>
      </c>
      <c r="C41" s="4">
        <v>1664</v>
      </c>
      <c r="D41" s="4">
        <v>10734</v>
      </c>
    </row>
    <row r="42" spans="1:4" x14ac:dyDescent="0.2">
      <c r="A42" s="4" t="s">
        <v>44</v>
      </c>
      <c r="B42" s="4">
        <v>21534</v>
      </c>
      <c r="C42" s="4">
        <v>1593</v>
      </c>
      <c r="D42" s="4">
        <v>10454</v>
      </c>
    </row>
    <row r="43" spans="1:4" x14ac:dyDescent="0.2">
      <c r="A43" s="4" t="s">
        <v>45</v>
      </c>
      <c r="B43" s="4">
        <v>20881</v>
      </c>
      <c r="C43" s="4">
        <v>1594</v>
      </c>
      <c r="D43" s="4">
        <v>10783</v>
      </c>
    </row>
    <row r="44" spans="1:4" x14ac:dyDescent="0.2">
      <c r="A44" s="4" t="s">
        <v>46</v>
      </c>
      <c r="B44" s="4">
        <v>19632</v>
      </c>
      <c r="C44" s="4">
        <v>1585</v>
      </c>
      <c r="D44" s="4">
        <v>10549</v>
      </c>
    </row>
    <row r="45" spans="1:4" x14ac:dyDescent="0.2">
      <c r="A45" s="4" t="s">
        <v>47</v>
      </c>
      <c r="B45" s="4">
        <v>18407</v>
      </c>
      <c r="C45" s="4">
        <v>1664</v>
      </c>
      <c r="D45" s="4">
        <v>10770</v>
      </c>
    </row>
    <row r="46" spans="1:4" x14ac:dyDescent="0.2">
      <c r="A46" s="4" t="s">
        <v>48</v>
      </c>
      <c r="B46" s="4">
        <v>17111</v>
      </c>
      <c r="C46" s="4">
        <v>1572</v>
      </c>
      <c r="D46" s="4">
        <v>10349</v>
      </c>
    </row>
    <row r="47" spans="1:4" x14ac:dyDescent="0.2">
      <c r="A47" s="4" t="s">
        <v>49</v>
      </c>
      <c r="B47" s="4">
        <v>16338</v>
      </c>
      <c r="C47" s="4">
        <v>1597</v>
      </c>
      <c r="D47" s="4">
        <v>10329</v>
      </c>
    </row>
    <row r="48" spans="1:4" x14ac:dyDescent="0.2">
      <c r="A48" s="4" t="s">
        <v>50</v>
      </c>
      <c r="B48" s="4">
        <v>15208</v>
      </c>
      <c r="C48" s="4">
        <v>1485</v>
      </c>
      <c r="D48" s="4">
        <v>9984</v>
      </c>
    </row>
    <row r="49" spans="1:4" x14ac:dyDescent="0.2">
      <c r="A49" s="4" t="s">
        <v>51</v>
      </c>
      <c r="B49" s="4">
        <v>14892</v>
      </c>
      <c r="C49" s="4">
        <v>1589</v>
      </c>
      <c r="D49" s="4">
        <v>10033</v>
      </c>
    </row>
    <row r="50" spans="1:4" x14ac:dyDescent="0.2">
      <c r="A50" s="4" t="s">
        <v>52</v>
      </c>
      <c r="B50" s="4">
        <v>14222</v>
      </c>
      <c r="C50" s="4">
        <v>1540</v>
      </c>
      <c r="D50" s="4">
        <v>10182</v>
      </c>
    </row>
    <row r="51" spans="1:4" x14ac:dyDescent="0.2">
      <c r="A51" s="4" t="s">
        <v>53</v>
      </c>
      <c r="B51" s="4">
        <v>13349</v>
      </c>
      <c r="C51" s="4">
        <v>1446</v>
      </c>
      <c r="D51" s="4">
        <v>9973</v>
      </c>
    </row>
    <row r="52" spans="1:4" x14ac:dyDescent="0.2">
      <c r="A52" s="4" t="s">
        <v>54</v>
      </c>
      <c r="B52" s="4">
        <v>12449</v>
      </c>
      <c r="C52" s="4">
        <v>1459</v>
      </c>
      <c r="D52" s="4">
        <v>9767</v>
      </c>
    </row>
    <row r="53" spans="1:4" x14ac:dyDescent="0.2">
      <c r="A53" s="4" t="s">
        <v>55</v>
      </c>
      <c r="B53" s="4">
        <v>12263</v>
      </c>
      <c r="C53" s="4">
        <v>1444</v>
      </c>
      <c r="D53" s="4">
        <v>9772</v>
      </c>
    </row>
    <row r="54" spans="1:4" x14ac:dyDescent="0.2">
      <c r="A54" s="4" t="s">
        <v>56</v>
      </c>
      <c r="B54" s="4">
        <v>11559</v>
      </c>
      <c r="C54" s="4">
        <v>1430</v>
      </c>
      <c r="D54" s="4">
        <v>9636</v>
      </c>
    </row>
    <row r="55" spans="1:4" x14ac:dyDescent="0.2">
      <c r="A55" s="4" t="s">
        <v>57</v>
      </c>
      <c r="B55" s="4">
        <v>11563</v>
      </c>
      <c r="C55" s="4">
        <v>1540</v>
      </c>
      <c r="D55" s="4">
        <v>10096</v>
      </c>
    </row>
    <row r="56" spans="1:4" x14ac:dyDescent="0.2">
      <c r="A56" s="4" t="s">
        <v>58</v>
      </c>
      <c r="B56" s="4">
        <v>10788</v>
      </c>
      <c r="C56" s="4">
        <v>1386</v>
      </c>
      <c r="D56" s="4">
        <v>9488</v>
      </c>
    </row>
    <row r="57" spans="1:4" x14ac:dyDescent="0.2">
      <c r="A57" s="4" t="s">
        <v>59</v>
      </c>
      <c r="B57" s="4">
        <v>10438</v>
      </c>
      <c r="C57" s="4">
        <v>1426</v>
      </c>
      <c r="D57" s="4">
        <v>9501</v>
      </c>
    </row>
    <row r="58" spans="1:4" x14ac:dyDescent="0.2">
      <c r="A58" s="4" t="s">
        <v>60</v>
      </c>
      <c r="B58" s="4">
        <v>9776</v>
      </c>
      <c r="C58" s="4">
        <v>1391</v>
      </c>
      <c r="D58" s="4">
        <v>9284</v>
      </c>
    </row>
    <row r="59" spans="1:4" x14ac:dyDescent="0.2">
      <c r="A59" s="4" t="s">
        <v>61</v>
      </c>
      <c r="B59" s="4">
        <v>9382</v>
      </c>
      <c r="C59" s="4">
        <v>1403</v>
      </c>
      <c r="D59" s="4">
        <v>9174</v>
      </c>
    </row>
    <row r="60" spans="1:4" x14ac:dyDescent="0.2">
      <c r="A60" s="4" t="s">
        <v>62</v>
      </c>
      <c r="B60" s="4">
        <v>9566</v>
      </c>
      <c r="C60" s="4">
        <v>1432</v>
      </c>
      <c r="D60" s="4">
        <v>9405</v>
      </c>
    </row>
    <row r="61" spans="1:4" x14ac:dyDescent="0.2">
      <c r="A61" s="4" t="s">
        <v>63</v>
      </c>
      <c r="B61" s="4">
        <v>8648</v>
      </c>
      <c r="C61" s="4">
        <v>1325</v>
      </c>
      <c r="D61" s="4">
        <v>9222</v>
      </c>
    </row>
    <row r="62" spans="1:4" x14ac:dyDescent="0.2">
      <c r="A62" s="4" t="s">
        <v>64</v>
      </c>
      <c r="B62" s="4">
        <v>8568</v>
      </c>
      <c r="C62" s="4">
        <v>1304</v>
      </c>
      <c r="D62" s="4">
        <v>8947</v>
      </c>
    </row>
    <row r="63" spans="1:4" x14ac:dyDescent="0.2">
      <c r="A63" s="4" t="s">
        <v>65</v>
      </c>
      <c r="B63" s="4">
        <v>8356</v>
      </c>
      <c r="C63" s="4">
        <v>1367</v>
      </c>
      <c r="D63" s="4">
        <v>9189</v>
      </c>
    </row>
    <row r="64" spans="1:4" x14ac:dyDescent="0.2">
      <c r="A64" s="4" t="s">
        <v>66</v>
      </c>
      <c r="B64" s="4">
        <v>8208</v>
      </c>
      <c r="C64" s="4">
        <v>1406</v>
      </c>
      <c r="D64" s="4">
        <v>9014</v>
      </c>
    </row>
    <row r="65" spans="1:4" x14ac:dyDescent="0.2">
      <c r="A65" s="4" t="s">
        <v>67</v>
      </c>
      <c r="B65" s="4">
        <v>8325</v>
      </c>
      <c r="C65" s="4">
        <v>1439</v>
      </c>
      <c r="D65" s="4">
        <v>9482</v>
      </c>
    </row>
    <row r="66" spans="1:4" x14ac:dyDescent="0.2">
      <c r="A66" s="4" t="s">
        <v>68</v>
      </c>
      <c r="B66" s="4">
        <v>7587</v>
      </c>
      <c r="C66" s="4">
        <v>1324</v>
      </c>
      <c r="D66" s="4">
        <v>9094</v>
      </c>
    </row>
    <row r="67" spans="1:4" x14ac:dyDescent="0.2">
      <c r="A67" s="4" t="s">
        <v>69</v>
      </c>
      <c r="B67" s="4">
        <v>7461</v>
      </c>
      <c r="C67" s="4">
        <v>1317</v>
      </c>
      <c r="D67" s="4">
        <v>9185</v>
      </c>
    </row>
    <row r="68" spans="1:4" x14ac:dyDescent="0.2">
      <c r="A68" s="4" t="s">
        <v>70</v>
      </c>
      <c r="B68" s="4">
        <v>7177</v>
      </c>
      <c r="C68" s="4">
        <v>1262</v>
      </c>
      <c r="D68" s="4">
        <v>8915</v>
      </c>
    </row>
    <row r="69" spans="1:4" x14ac:dyDescent="0.2">
      <c r="A69" s="4" t="s">
        <v>71</v>
      </c>
      <c r="B69" s="4">
        <v>6978</v>
      </c>
      <c r="C69" s="4">
        <v>1330</v>
      </c>
      <c r="D69" s="4">
        <v>8829</v>
      </c>
    </row>
    <row r="70" spans="1:4" x14ac:dyDescent="0.2">
      <c r="A70" s="4" t="s">
        <v>72</v>
      </c>
      <c r="B70" s="4">
        <v>7111</v>
      </c>
      <c r="C70" s="4">
        <v>1339</v>
      </c>
      <c r="D70" s="4">
        <v>9328</v>
      </c>
    </row>
    <row r="71" spans="1:4" x14ac:dyDescent="0.2">
      <c r="A71" s="4" t="s">
        <v>73</v>
      </c>
      <c r="B71" s="4">
        <v>6739</v>
      </c>
      <c r="C71" s="4">
        <v>1335</v>
      </c>
      <c r="D71" s="4">
        <v>8797</v>
      </c>
    </row>
    <row r="72" spans="1:4" x14ac:dyDescent="0.2">
      <c r="A72" s="4" t="s">
        <v>74</v>
      </c>
      <c r="B72" s="4">
        <v>6569</v>
      </c>
      <c r="C72" s="4">
        <v>1295</v>
      </c>
      <c r="D72" s="4">
        <v>8922</v>
      </c>
    </row>
    <row r="73" spans="1:4" x14ac:dyDescent="0.2">
      <c r="A73" s="4" t="s">
        <v>75</v>
      </c>
      <c r="B73" s="4">
        <v>6823</v>
      </c>
      <c r="C73" s="4">
        <v>1361</v>
      </c>
      <c r="D73" s="4">
        <v>9202</v>
      </c>
    </row>
    <row r="74" spans="1:4" x14ac:dyDescent="0.2">
      <c r="A74" s="4" t="s">
        <v>76</v>
      </c>
      <c r="B74" s="4">
        <v>6961</v>
      </c>
      <c r="C74" s="4">
        <v>1385</v>
      </c>
      <c r="D74" s="4">
        <v>9427</v>
      </c>
    </row>
    <row r="75" spans="1:4" x14ac:dyDescent="0.2">
      <c r="A75" s="4" t="s">
        <v>77</v>
      </c>
      <c r="B75" s="4">
        <v>6810</v>
      </c>
      <c r="C75" s="4">
        <v>1471</v>
      </c>
      <c r="D75" s="4">
        <v>9425</v>
      </c>
    </row>
    <row r="76" spans="1:4" x14ac:dyDescent="0.2">
      <c r="A76" s="4" t="s">
        <v>78</v>
      </c>
      <c r="B76" s="4">
        <v>6857</v>
      </c>
      <c r="C76" s="4">
        <v>1366</v>
      </c>
      <c r="D76" s="4">
        <v>9373</v>
      </c>
    </row>
    <row r="77" spans="1:4" x14ac:dyDescent="0.2">
      <c r="A77" s="4" t="s">
        <v>79</v>
      </c>
      <c r="B77" s="4">
        <v>7172</v>
      </c>
      <c r="C77" s="4">
        <v>1502</v>
      </c>
      <c r="D77" s="4">
        <v>9886</v>
      </c>
    </row>
    <row r="78" spans="1:4" x14ac:dyDescent="0.2">
      <c r="A78" s="4" t="s">
        <v>80</v>
      </c>
      <c r="B78" s="4">
        <v>7790</v>
      </c>
      <c r="C78" s="4">
        <v>1649</v>
      </c>
      <c r="D78" s="4">
        <v>10163</v>
      </c>
    </row>
    <row r="79" spans="1:4" x14ac:dyDescent="0.2">
      <c r="A79" s="4" t="s">
        <v>81</v>
      </c>
      <c r="B79" s="4">
        <v>8662</v>
      </c>
      <c r="C79" s="4">
        <v>1635</v>
      </c>
      <c r="D79" s="4">
        <v>10084</v>
      </c>
    </row>
    <row r="80" spans="1:4" x14ac:dyDescent="0.2">
      <c r="A80" s="4" t="s">
        <v>82</v>
      </c>
      <c r="B80" s="4">
        <v>2929</v>
      </c>
      <c r="C80" s="4">
        <v>799</v>
      </c>
      <c r="D80" s="4">
        <v>6707</v>
      </c>
    </row>
    <row r="81" spans="1:4" x14ac:dyDescent="0.2">
      <c r="A81" s="4" t="s">
        <v>83</v>
      </c>
      <c r="B81" s="4">
        <v>2830</v>
      </c>
      <c r="C81" s="4">
        <v>755</v>
      </c>
      <c r="D81" s="4">
        <v>6282</v>
      </c>
    </row>
    <row r="82" spans="1:4" x14ac:dyDescent="0.2">
      <c r="A82" s="4" t="s">
        <v>84</v>
      </c>
      <c r="B82" s="4">
        <v>2720</v>
      </c>
      <c r="C82" s="4">
        <v>746</v>
      </c>
      <c r="D82" s="4">
        <v>6166</v>
      </c>
    </row>
    <row r="83" spans="1:4" x14ac:dyDescent="0.2">
      <c r="A83" s="4" t="s">
        <v>85</v>
      </c>
      <c r="B83" s="4">
        <v>2707</v>
      </c>
      <c r="C83" s="4">
        <v>763</v>
      </c>
      <c r="D83" s="4">
        <v>6137</v>
      </c>
    </row>
    <row r="84" spans="1:4" x14ac:dyDescent="0.2">
      <c r="A84" s="4" t="s">
        <v>86</v>
      </c>
      <c r="B84" s="4">
        <v>2659</v>
      </c>
      <c r="C84" s="4">
        <v>739</v>
      </c>
      <c r="D84" s="4">
        <v>5945</v>
      </c>
    </row>
    <row r="85" spans="1:4" x14ac:dyDescent="0.2">
      <c r="A85" s="4" t="s">
        <v>87</v>
      </c>
      <c r="B85" s="4">
        <v>2568</v>
      </c>
      <c r="C85" s="4">
        <v>699</v>
      </c>
      <c r="D85" s="4">
        <v>6129</v>
      </c>
    </row>
    <row r="86" spans="1:4" x14ac:dyDescent="0.2">
      <c r="A86" s="4" t="s">
        <v>88</v>
      </c>
      <c r="B86" s="4">
        <v>2530</v>
      </c>
      <c r="C86" s="4">
        <v>732</v>
      </c>
      <c r="D86" s="4">
        <v>5939</v>
      </c>
    </row>
    <row r="87" spans="1:4" x14ac:dyDescent="0.2">
      <c r="A87" s="4" t="s">
        <v>89</v>
      </c>
      <c r="B87" s="4">
        <v>2449</v>
      </c>
      <c r="C87" s="4">
        <v>674</v>
      </c>
      <c r="D87" s="4">
        <v>5961</v>
      </c>
    </row>
    <row r="88" spans="1:4" x14ac:dyDescent="0.2">
      <c r="A88" s="4" t="s">
        <v>90</v>
      </c>
      <c r="B88" s="4">
        <v>2333</v>
      </c>
      <c r="C88" s="4">
        <v>667</v>
      </c>
      <c r="D88" s="4">
        <v>5819</v>
      </c>
    </row>
    <row r="89" spans="1:4" x14ac:dyDescent="0.2">
      <c r="A89" s="4" t="s">
        <v>91</v>
      </c>
      <c r="B89" s="4">
        <v>2377</v>
      </c>
      <c r="C89" s="4">
        <v>711</v>
      </c>
      <c r="D89" s="4">
        <v>5878</v>
      </c>
    </row>
    <row r="90" spans="1:4" x14ac:dyDescent="0.2">
      <c r="A90" s="4" t="s">
        <v>92</v>
      </c>
      <c r="B90" s="4">
        <v>2290</v>
      </c>
      <c r="C90" s="4">
        <v>676</v>
      </c>
      <c r="D90" s="4">
        <v>5722</v>
      </c>
    </row>
    <row r="91" spans="1:4" x14ac:dyDescent="0.2">
      <c r="A91" s="4" t="s">
        <v>93</v>
      </c>
      <c r="B91" s="4">
        <v>2289</v>
      </c>
      <c r="C91" s="4">
        <v>665</v>
      </c>
      <c r="D91" s="4">
        <v>5708</v>
      </c>
    </row>
    <row r="92" spans="1:4" x14ac:dyDescent="0.2">
      <c r="A92" s="4" t="s">
        <v>94</v>
      </c>
      <c r="B92" s="4">
        <v>2166</v>
      </c>
      <c r="C92" s="4">
        <v>690</v>
      </c>
      <c r="D92" s="4">
        <v>5594</v>
      </c>
    </row>
    <row r="93" spans="1:4" x14ac:dyDescent="0.2">
      <c r="A93" s="4" t="s">
        <v>95</v>
      </c>
      <c r="B93" s="4">
        <v>2131</v>
      </c>
      <c r="C93" s="4">
        <v>670</v>
      </c>
      <c r="D93" s="4">
        <v>5535</v>
      </c>
    </row>
    <row r="94" spans="1:4" x14ac:dyDescent="0.2">
      <c r="A94" s="4" t="s">
        <v>96</v>
      </c>
      <c r="B94" s="4">
        <v>2096</v>
      </c>
      <c r="C94" s="4">
        <v>628</v>
      </c>
      <c r="D94" s="4">
        <v>5504</v>
      </c>
    </row>
    <row r="95" spans="1:4" x14ac:dyDescent="0.2">
      <c r="A95" s="4" t="s">
        <v>97</v>
      </c>
      <c r="B95" s="4">
        <v>2172</v>
      </c>
      <c r="C95" s="4">
        <v>710</v>
      </c>
      <c r="D95" s="4">
        <v>5655</v>
      </c>
    </row>
    <row r="96" spans="1:4" x14ac:dyDescent="0.2">
      <c r="A96" s="4" t="s">
        <v>98</v>
      </c>
      <c r="B96" s="4">
        <v>1939</v>
      </c>
      <c r="C96" s="4">
        <v>618</v>
      </c>
      <c r="D96" s="4">
        <v>5527</v>
      </c>
    </row>
    <row r="97" spans="1:4" x14ac:dyDescent="0.2">
      <c r="A97" s="4" t="s">
        <v>99</v>
      </c>
      <c r="B97" s="4">
        <v>2037</v>
      </c>
      <c r="C97" s="4">
        <v>623</v>
      </c>
      <c r="D97" s="4">
        <v>5438</v>
      </c>
    </row>
    <row r="98" spans="1:4" x14ac:dyDescent="0.2">
      <c r="A98" s="4" t="s">
        <v>100</v>
      </c>
      <c r="B98" s="4">
        <v>1837</v>
      </c>
      <c r="C98" s="4">
        <v>657</v>
      </c>
      <c r="D98" s="4">
        <v>5383</v>
      </c>
    </row>
    <row r="99" spans="1:4" x14ac:dyDescent="0.2">
      <c r="A99" s="4" t="s">
        <v>101</v>
      </c>
      <c r="B99" s="4">
        <v>1885</v>
      </c>
      <c r="C99" s="4">
        <v>626</v>
      </c>
      <c r="D99" s="4">
        <v>5253</v>
      </c>
    </row>
    <row r="100" spans="1:4" x14ac:dyDescent="0.2">
      <c r="A100" s="4" t="s">
        <v>102</v>
      </c>
      <c r="B100" s="4">
        <v>1874</v>
      </c>
      <c r="C100" s="4">
        <v>623</v>
      </c>
      <c r="D100" s="4">
        <v>5193</v>
      </c>
    </row>
    <row r="101" spans="1:4" x14ac:dyDescent="0.2">
      <c r="A101" s="4" t="s">
        <v>103</v>
      </c>
      <c r="B101" s="4">
        <v>1848</v>
      </c>
      <c r="C101" s="4">
        <v>609</v>
      </c>
      <c r="D101" s="4">
        <v>5030</v>
      </c>
    </row>
    <row r="102" spans="1:4" x14ac:dyDescent="0.2">
      <c r="A102" s="4" t="s">
        <v>104</v>
      </c>
      <c r="B102" s="4">
        <v>1702</v>
      </c>
      <c r="C102" s="4">
        <v>564</v>
      </c>
      <c r="D102" s="4">
        <v>4863</v>
      </c>
    </row>
    <row r="103" spans="1:4" x14ac:dyDescent="0.2">
      <c r="A103" s="4" t="s">
        <v>105</v>
      </c>
      <c r="B103" s="4">
        <v>1683</v>
      </c>
      <c r="C103" s="4">
        <v>581</v>
      </c>
      <c r="D103" s="4">
        <v>5023</v>
      </c>
    </row>
    <row r="104" spans="1:4" x14ac:dyDescent="0.2">
      <c r="A104" s="4" t="s">
        <v>106</v>
      </c>
      <c r="B104" s="4">
        <v>1662</v>
      </c>
      <c r="C104" s="4">
        <v>570</v>
      </c>
      <c r="D104" s="4">
        <v>4863</v>
      </c>
    </row>
    <row r="105" spans="1:4" x14ac:dyDescent="0.2">
      <c r="A105" s="4" t="s">
        <v>107</v>
      </c>
      <c r="B105" s="4">
        <v>1725</v>
      </c>
      <c r="C105" s="4">
        <v>621</v>
      </c>
      <c r="D105" s="4">
        <v>4935</v>
      </c>
    </row>
    <row r="106" spans="1:4" x14ac:dyDescent="0.2">
      <c r="A106" s="4" t="s">
        <v>108</v>
      </c>
      <c r="B106" s="4">
        <v>1610</v>
      </c>
      <c r="C106" s="4">
        <v>598</v>
      </c>
      <c r="D106" s="4">
        <v>4649</v>
      </c>
    </row>
    <row r="107" spans="1:4" x14ac:dyDescent="0.2">
      <c r="A107" s="4" t="s">
        <v>109</v>
      </c>
      <c r="B107" s="4">
        <v>1647</v>
      </c>
      <c r="C107" s="4">
        <v>571</v>
      </c>
      <c r="D107" s="4">
        <v>4776</v>
      </c>
    </row>
    <row r="108" spans="1:4" x14ac:dyDescent="0.2">
      <c r="A108" s="4" t="s">
        <v>110</v>
      </c>
      <c r="B108" s="4">
        <v>1516</v>
      </c>
      <c r="C108" s="4">
        <v>553</v>
      </c>
      <c r="D108" s="4">
        <v>4691</v>
      </c>
    </row>
    <row r="109" spans="1:4" x14ac:dyDescent="0.2">
      <c r="A109" s="4" t="s">
        <v>111</v>
      </c>
      <c r="B109" s="4">
        <v>1503</v>
      </c>
      <c r="C109" s="4">
        <v>586</v>
      </c>
      <c r="D109" s="4">
        <v>4602</v>
      </c>
    </row>
    <row r="110" spans="1:4" x14ac:dyDescent="0.2">
      <c r="A110" s="4" t="s">
        <v>112</v>
      </c>
      <c r="B110" s="4">
        <v>1530</v>
      </c>
      <c r="C110" s="4">
        <v>540</v>
      </c>
      <c r="D110" s="4">
        <v>4628</v>
      </c>
    </row>
    <row r="111" spans="1:4" x14ac:dyDescent="0.2">
      <c r="A111" s="4" t="s">
        <v>113</v>
      </c>
      <c r="B111" s="4">
        <v>1456</v>
      </c>
      <c r="C111" s="4">
        <v>545</v>
      </c>
      <c r="D111" s="4">
        <v>4354</v>
      </c>
    </row>
    <row r="112" spans="1:4" x14ac:dyDescent="0.2">
      <c r="A112" s="4" t="s">
        <v>114</v>
      </c>
      <c r="B112" s="4">
        <v>1495</v>
      </c>
      <c r="C112" s="4">
        <v>528</v>
      </c>
      <c r="D112" s="4">
        <v>4447</v>
      </c>
    </row>
    <row r="113" spans="1:4" x14ac:dyDescent="0.2">
      <c r="A113" s="4" t="s">
        <v>115</v>
      </c>
      <c r="B113" s="4">
        <v>1431</v>
      </c>
      <c r="C113" s="4">
        <v>538</v>
      </c>
      <c r="D113" s="4">
        <v>4331</v>
      </c>
    </row>
    <row r="114" spans="1:4" x14ac:dyDescent="0.2">
      <c r="A114" s="4" t="s">
        <v>116</v>
      </c>
      <c r="B114" s="4">
        <v>1366</v>
      </c>
      <c r="C114" s="4">
        <v>554</v>
      </c>
      <c r="D114" s="4">
        <v>4251</v>
      </c>
    </row>
    <row r="115" spans="1:4" x14ac:dyDescent="0.2">
      <c r="A115" s="4" t="s">
        <v>117</v>
      </c>
      <c r="B115" s="4">
        <v>1387</v>
      </c>
      <c r="C115" s="4">
        <v>574</v>
      </c>
      <c r="D115" s="4">
        <v>4527</v>
      </c>
    </row>
    <row r="116" spans="1:4" x14ac:dyDescent="0.2">
      <c r="A116" s="4" t="s">
        <v>118</v>
      </c>
      <c r="B116" s="4">
        <v>1323</v>
      </c>
      <c r="C116" s="4">
        <v>503</v>
      </c>
      <c r="D116" s="4">
        <v>4154</v>
      </c>
    </row>
    <row r="117" spans="1:4" x14ac:dyDescent="0.2">
      <c r="A117" s="4" t="s">
        <v>119</v>
      </c>
      <c r="B117" s="4">
        <v>1359</v>
      </c>
      <c r="C117" s="4">
        <v>517</v>
      </c>
      <c r="D117" s="4">
        <v>4152</v>
      </c>
    </row>
    <row r="118" spans="1:4" x14ac:dyDescent="0.2">
      <c r="A118" s="4" t="s">
        <v>120</v>
      </c>
      <c r="B118" s="4">
        <v>1295</v>
      </c>
      <c r="C118" s="4">
        <v>512</v>
      </c>
      <c r="D118" s="4">
        <v>4009</v>
      </c>
    </row>
    <row r="119" spans="1:4" x14ac:dyDescent="0.2">
      <c r="A119" s="4" t="s">
        <v>121</v>
      </c>
      <c r="B119" s="4">
        <v>1256</v>
      </c>
      <c r="C119" s="4">
        <v>513</v>
      </c>
      <c r="D119" s="4">
        <v>4095</v>
      </c>
    </row>
    <row r="120" spans="1:4" x14ac:dyDescent="0.2">
      <c r="A120" s="4" t="s">
        <v>122</v>
      </c>
      <c r="B120" s="4">
        <v>1290</v>
      </c>
      <c r="C120" s="4">
        <v>507</v>
      </c>
      <c r="D120" s="4">
        <v>4046</v>
      </c>
    </row>
    <row r="121" spans="1:4" x14ac:dyDescent="0.2">
      <c r="A121" s="4" t="s">
        <v>123</v>
      </c>
      <c r="B121" s="4">
        <v>1254</v>
      </c>
      <c r="C121" s="4">
        <v>465</v>
      </c>
      <c r="D121" s="4">
        <v>3876</v>
      </c>
    </row>
    <row r="122" spans="1:4" x14ac:dyDescent="0.2">
      <c r="A122" s="4" t="s">
        <v>124</v>
      </c>
      <c r="B122" s="4">
        <v>1195</v>
      </c>
      <c r="C122" s="4">
        <v>496</v>
      </c>
      <c r="D122" s="4">
        <v>3804</v>
      </c>
    </row>
    <row r="123" spans="1:4" x14ac:dyDescent="0.2">
      <c r="A123" s="4" t="s">
        <v>125</v>
      </c>
      <c r="B123" s="4">
        <v>1207</v>
      </c>
      <c r="C123" s="4">
        <v>550</v>
      </c>
      <c r="D123" s="4">
        <v>3787</v>
      </c>
    </row>
    <row r="124" spans="1:4" x14ac:dyDescent="0.2">
      <c r="A124" s="4" t="s">
        <v>126</v>
      </c>
      <c r="B124" s="4">
        <v>1105</v>
      </c>
      <c r="C124" s="4">
        <v>492</v>
      </c>
      <c r="D124" s="4">
        <v>3619</v>
      </c>
    </row>
    <row r="125" spans="1:4" x14ac:dyDescent="0.2">
      <c r="A125" s="4" t="s">
        <v>127</v>
      </c>
      <c r="B125" s="4">
        <v>1237</v>
      </c>
      <c r="C125" s="4">
        <v>527</v>
      </c>
      <c r="D125" s="4">
        <v>3749</v>
      </c>
    </row>
    <row r="126" spans="1:4" x14ac:dyDescent="0.2">
      <c r="A126" s="4" t="s">
        <v>128</v>
      </c>
      <c r="B126" s="4">
        <v>1156</v>
      </c>
      <c r="C126" s="4">
        <v>443</v>
      </c>
      <c r="D126" s="4">
        <v>3723</v>
      </c>
    </row>
    <row r="127" spans="1:4" x14ac:dyDescent="0.2">
      <c r="A127" s="4" t="s">
        <v>129</v>
      </c>
      <c r="B127" s="4">
        <v>1032</v>
      </c>
      <c r="C127" s="4">
        <v>467</v>
      </c>
      <c r="D127" s="4">
        <v>3631</v>
      </c>
    </row>
    <row r="128" spans="1:4" x14ac:dyDescent="0.2">
      <c r="A128" s="4" t="s">
        <v>130</v>
      </c>
      <c r="B128" s="4">
        <v>1059</v>
      </c>
      <c r="C128" s="4">
        <v>511</v>
      </c>
      <c r="D128" s="4">
        <v>3573</v>
      </c>
    </row>
    <row r="129" spans="1:4" x14ac:dyDescent="0.2">
      <c r="A129" s="4" t="s">
        <v>131</v>
      </c>
      <c r="B129" s="4">
        <v>1074</v>
      </c>
      <c r="C129" s="4">
        <v>498</v>
      </c>
      <c r="D129" s="4">
        <v>3540</v>
      </c>
    </row>
    <row r="130" spans="1:4" x14ac:dyDescent="0.2">
      <c r="A130" s="4" t="s">
        <v>132</v>
      </c>
      <c r="B130" s="4">
        <v>1107</v>
      </c>
      <c r="C130" s="4">
        <v>476</v>
      </c>
      <c r="D130" s="4">
        <v>3451</v>
      </c>
    </row>
    <row r="131" spans="1:4" x14ac:dyDescent="0.2">
      <c r="A131" s="4" t="s">
        <v>133</v>
      </c>
      <c r="B131" s="4">
        <v>1053</v>
      </c>
      <c r="C131" s="4">
        <v>503</v>
      </c>
      <c r="D131" s="4">
        <v>3396</v>
      </c>
    </row>
    <row r="132" spans="1:4" x14ac:dyDescent="0.2">
      <c r="A132" s="4" t="s">
        <v>134</v>
      </c>
      <c r="B132" s="4">
        <v>1004</v>
      </c>
      <c r="C132" s="4">
        <v>488</v>
      </c>
      <c r="D132" s="4">
        <v>3363</v>
      </c>
    </row>
    <row r="133" spans="1:4" x14ac:dyDescent="0.2">
      <c r="A133" s="4" t="s">
        <v>135</v>
      </c>
      <c r="B133" s="4">
        <v>971</v>
      </c>
      <c r="C133" s="4">
        <v>457</v>
      </c>
      <c r="D133" s="4">
        <v>3365</v>
      </c>
    </row>
    <row r="134" spans="1:4" x14ac:dyDescent="0.2">
      <c r="A134" s="4" t="s">
        <v>136</v>
      </c>
      <c r="B134" s="4">
        <v>980</v>
      </c>
      <c r="C134" s="4">
        <v>456</v>
      </c>
      <c r="D134" s="4">
        <v>3244</v>
      </c>
    </row>
    <row r="135" spans="1:4" x14ac:dyDescent="0.2">
      <c r="A135" s="4" t="s">
        <v>137</v>
      </c>
      <c r="B135" s="4">
        <v>998</v>
      </c>
      <c r="C135" s="4">
        <v>448</v>
      </c>
      <c r="D135" s="4">
        <v>3359</v>
      </c>
    </row>
    <row r="136" spans="1:4" x14ac:dyDescent="0.2">
      <c r="A136" s="4" t="s">
        <v>138</v>
      </c>
      <c r="B136" s="4">
        <v>1022</v>
      </c>
      <c r="C136" s="4">
        <v>471</v>
      </c>
      <c r="D136" s="4">
        <v>3102</v>
      </c>
    </row>
    <row r="137" spans="1:4" x14ac:dyDescent="0.2">
      <c r="A137" s="4" t="s">
        <v>139</v>
      </c>
      <c r="B137" s="4">
        <v>908</v>
      </c>
      <c r="C137" s="4">
        <v>456</v>
      </c>
      <c r="D137" s="4">
        <v>3210</v>
      </c>
    </row>
    <row r="138" spans="1:4" x14ac:dyDescent="0.2">
      <c r="A138" s="4" t="s">
        <v>140</v>
      </c>
      <c r="B138" s="4">
        <v>908</v>
      </c>
      <c r="C138" s="4">
        <v>439</v>
      </c>
      <c r="D138" s="4">
        <v>3127</v>
      </c>
    </row>
    <row r="139" spans="1:4" x14ac:dyDescent="0.2">
      <c r="A139" s="4" t="s">
        <v>141</v>
      </c>
      <c r="B139" s="4">
        <v>872</v>
      </c>
      <c r="C139" s="4">
        <v>441</v>
      </c>
      <c r="D139" s="4">
        <v>3101</v>
      </c>
    </row>
    <row r="140" spans="1:4" x14ac:dyDescent="0.2">
      <c r="A140" s="4" t="s">
        <v>142</v>
      </c>
      <c r="B140" s="4">
        <v>889</v>
      </c>
      <c r="C140" s="4">
        <v>440</v>
      </c>
      <c r="D140" s="4">
        <v>3001</v>
      </c>
    </row>
    <row r="141" spans="1:4" x14ac:dyDescent="0.2">
      <c r="A141" s="4" t="s">
        <v>143</v>
      </c>
      <c r="B141" s="4">
        <v>857</v>
      </c>
      <c r="C141" s="4">
        <v>416</v>
      </c>
      <c r="D141" s="4">
        <v>2978</v>
      </c>
    </row>
    <row r="142" spans="1:4" x14ac:dyDescent="0.2">
      <c r="A142" s="4" t="s">
        <v>144</v>
      </c>
      <c r="B142" s="4">
        <v>895</v>
      </c>
      <c r="C142" s="4">
        <v>407</v>
      </c>
      <c r="D142" s="4">
        <v>2942</v>
      </c>
    </row>
    <row r="143" spans="1:4" x14ac:dyDescent="0.2">
      <c r="A143" s="4" t="s">
        <v>145</v>
      </c>
      <c r="B143" s="4">
        <v>879</v>
      </c>
      <c r="C143" s="4">
        <v>405</v>
      </c>
      <c r="D143" s="4">
        <v>2854</v>
      </c>
    </row>
    <row r="144" spans="1:4" x14ac:dyDescent="0.2">
      <c r="A144" s="4" t="s">
        <v>146</v>
      </c>
      <c r="B144" s="4">
        <v>822</v>
      </c>
      <c r="C144" s="4">
        <v>430</v>
      </c>
      <c r="D144" s="4">
        <v>2797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CDBF-96B3-334C-8296-C9F30C5546B0}">
  <dimension ref="A1:R37"/>
  <sheetViews>
    <sheetView tabSelected="1" workbookViewId="0">
      <selection activeCell="I11" sqref="I11"/>
    </sheetView>
  </sheetViews>
  <sheetFormatPr baseColWidth="10" defaultRowHeight="16" x14ac:dyDescent="0.2"/>
  <cols>
    <col min="6" max="6" width="9.6640625" customWidth="1"/>
    <col min="8" max="8" width="9" customWidth="1"/>
  </cols>
  <sheetData>
    <row r="1" spans="1:18" x14ac:dyDescent="0.2">
      <c r="B1" t="s">
        <v>0</v>
      </c>
    </row>
    <row r="2" spans="1:18" x14ac:dyDescent="0.2">
      <c r="B2" t="s">
        <v>1</v>
      </c>
      <c r="C2" t="s">
        <v>2</v>
      </c>
      <c r="J2" s="1" t="s">
        <v>4</v>
      </c>
      <c r="K2" s="1" t="s">
        <v>5</v>
      </c>
      <c r="L2" s="1" t="s">
        <v>6</v>
      </c>
      <c r="O2" t="s">
        <v>152</v>
      </c>
    </row>
    <row r="3" spans="1:18" x14ac:dyDescent="0.2">
      <c r="I3" t="s">
        <v>147</v>
      </c>
      <c r="J3" s="3">
        <f>AVERAGE(C17:C26)</f>
        <v>7149.4</v>
      </c>
      <c r="K3" s="3">
        <f>AVERAGE(D17:D26)</f>
        <v>1433.8</v>
      </c>
      <c r="L3" s="3">
        <f>AVERAGE(E17:E26)</f>
        <v>9460.7000000000007</v>
      </c>
      <c r="O3" s="1" t="s">
        <v>153</v>
      </c>
      <c r="P3" s="1" t="s">
        <v>157</v>
      </c>
      <c r="Q3" s="1" t="s">
        <v>154</v>
      </c>
    </row>
    <row r="4" spans="1:18" x14ac:dyDescent="0.2">
      <c r="I4" t="s">
        <v>148</v>
      </c>
      <c r="J4" s="3">
        <f>AVERAGE(C27:C36)</f>
        <v>2610.1999999999998</v>
      </c>
      <c r="K4" s="3">
        <f>AVERAGE(D27:D36)</f>
        <v>728.5</v>
      </c>
      <c r="L4" s="3">
        <f>AVERAGE(E27:E36)</f>
        <v>6096.3</v>
      </c>
      <c r="N4" s="8" t="s">
        <v>155</v>
      </c>
      <c r="O4" s="2">
        <v>235</v>
      </c>
      <c r="P4">
        <v>34.799999999999997</v>
      </c>
      <c r="Q4" s="2">
        <v>160</v>
      </c>
    </row>
    <row r="5" spans="1:18" x14ac:dyDescent="0.2">
      <c r="B5" t="s">
        <v>150</v>
      </c>
      <c r="C5" s="3">
        <f t="shared" ref="C5:H5" si="0">SUM(C8:C37)</f>
        <v>171194</v>
      </c>
      <c r="D5" s="3">
        <f t="shared" si="0"/>
        <v>34373</v>
      </c>
      <c r="E5" s="3">
        <f t="shared" si="0"/>
        <v>243169</v>
      </c>
      <c r="F5" s="3">
        <f t="shared" si="0"/>
        <v>168549</v>
      </c>
      <c r="G5" s="3">
        <f t="shared" si="0"/>
        <v>33501.000000000015</v>
      </c>
      <c r="H5" s="3">
        <f t="shared" si="0"/>
        <v>236745</v>
      </c>
      <c r="J5" s="5">
        <f>J3-J4</f>
        <v>4539.2</v>
      </c>
      <c r="K5" s="5">
        <f>K3-K4</f>
        <v>705.3</v>
      </c>
      <c r="L5" s="5">
        <f>L3-L4</f>
        <v>3364.4000000000005</v>
      </c>
      <c r="N5" s="9" t="s">
        <v>156</v>
      </c>
      <c r="O5" s="3">
        <f>SUM(C19:C26)-SUM(F19:F26)</f>
        <v>12192</v>
      </c>
      <c r="P5" s="3">
        <f>SUM(D19:D26)-SUM(G19:G26)</f>
        <v>2236.7999999999993</v>
      </c>
      <c r="Q5" s="3">
        <f>SUM(E19:E26)-SUM(H19:H26)</f>
        <v>11866</v>
      </c>
      <c r="R5" s="3">
        <f>SUM(O5:Q5)</f>
        <v>26294.799999999999</v>
      </c>
    </row>
    <row r="6" spans="1:18" x14ac:dyDescent="0.2">
      <c r="I6" s="3"/>
      <c r="J6" s="3"/>
      <c r="K6" s="3"/>
      <c r="N6" s="9" t="s">
        <v>161</v>
      </c>
      <c r="O6" s="3">
        <f>SUM(F27:F37)-SUM(C27:C37)</f>
        <v>9547</v>
      </c>
      <c r="P6" s="3">
        <f>SUM(G27:G37)-SUM(D27:D37)</f>
        <v>1364.8000000000065</v>
      </c>
      <c r="Q6" s="3">
        <f>SUM(H27:H37)-SUM(E27:E37)</f>
        <v>5442</v>
      </c>
    </row>
    <row r="7" spans="1:18" s="1" customFormat="1" x14ac:dyDescent="0.2">
      <c r="A7" s="1" t="s">
        <v>151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159</v>
      </c>
      <c r="G7" s="1" t="s">
        <v>158</v>
      </c>
      <c r="H7" s="1" t="s">
        <v>160</v>
      </c>
    </row>
    <row r="8" spans="1:18" x14ac:dyDescent="0.2">
      <c r="A8">
        <v>1</v>
      </c>
      <c r="B8" t="s">
        <v>63</v>
      </c>
      <c r="C8" s="2">
        <v>8648</v>
      </c>
      <c r="D8" s="2">
        <v>1325</v>
      </c>
      <c r="E8" s="2">
        <v>9222</v>
      </c>
      <c r="F8" s="2">
        <v>8648</v>
      </c>
      <c r="G8" s="2">
        <v>1325</v>
      </c>
      <c r="H8" s="2">
        <v>9222</v>
      </c>
    </row>
    <row r="9" spans="1:18" x14ac:dyDescent="0.2">
      <c r="A9">
        <v>2</v>
      </c>
      <c r="B9" t="s">
        <v>64</v>
      </c>
      <c r="C9" s="2">
        <v>8568</v>
      </c>
      <c r="D9" s="2">
        <v>1304</v>
      </c>
      <c r="E9" s="2">
        <v>8947</v>
      </c>
      <c r="F9" s="2">
        <v>8568</v>
      </c>
      <c r="G9" s="2">
        <v>1304</v>
      </c>
      <c r="H9" s="2">
        <v>8947</v>
      </c>
    </row>
    <row r="10" spans="1:18" x14ac:dyDescent="0.2">
      <c r="A10">
        <v>3</v>
      </c>
      <c r="B10" t="s">
        <v>65</v>
      </c>
      <c r="C10" s="2">
        <v>8356</v>
      </c>
      <c r="D10" s="2">
        <v>1367</v>
      </c>
      <c r="E10" s="2">
        <v>9189</v>
      </c>
      <c r="F10" s="2">
        <v>8356</v>
      </c>
      <c r="G10" s="2">
        <v>1367</v>
      </c>
      <c r="H10" s="2">
        <v>9189</v>
      </c>
    </row>
    <row r="11" spans="1:18" x14ac:dyDescent="0.2">
      <c r="A11">
        <v>4</v>
      </c>
      <c r="B11" t="s">
        <v>66</v>
      </c>
      <c r="C11" s="2">
        <v>8208</v>
      </c>
      <c r="D11" s="2">
        <v>1406</v>
      </c>
      <c r="E11" s="2">
        <v>9014</v>
      </c>
      <c r="F11" s="2">
        <v>8208</v>
      </c>
      <c r="G11" s="2">
        <v>1406</v>
      </c>
      <c r="H11" s="2">
        <v>9014</v>
      </c>
    </row>
    <row r="12" spans="1:18" x14ac:dyDescent="0.2">
      <c r="A12">
        <v>5</v>
      </c>
      <c r="B12" t="s">
        <v>67</v>
      </c>
      <c r="C12" s="2">
        <v>8325</v>
      </c>
      <c r="D12" s="2">
        <v>1439</v>
      </c>
      <c r="E12" s="2">
        <v>9482</v>
      </c>
      <c r="F12" s="2">
        <v>8325</v>
      </c>
      <c r="G12" s="2">
        <v>1439</v>
      </c>
      <c r="H12" s="2">
        <v>9482</v>
      </c>
    </row>
    <row r="13" spans="1:18" x14ac:dyDescent="0.2">
      <c r="A13">
        <v>6</v>
      </c>
      <c r="B13" t="s">
        <v>68</v>
      </c>
      <c r="C13" s="2">
        <v>7587</v>
      </c>
      <c r="D13" s="2">
        <v>1324</v>
      </c>
      <c r="E13" s="2">
        <v>9094</v>
      </c>
      <c r="F13" s="2">
        <v>7587</v>
      </c>
      <c r="G13" s="2">
        <v>1324</v>
      </c>
      <c r="H13" s="2">
        <v>9094</v>
      </c>
    </row>
    <row r="14" spans="1:18" x14ac:dyDescent="0.2">
      <c r="A14">
        <v>7</v>
      </c>
      <c r="B14" t="s">
        <v>69</v>
      </c>
      <c r="C14" s="2">
        <v>7461</v>
      </c>
      <c r="D14" s="2">
        <v>1317</v>
      </c>
      <c r="E14" s="2">
        <v>9185</v>
      </c>
      <c r="F14" s="2">
        <v>7461</v>
      </c>
      <c r="G14" s="2">
        <v>1317</v>
      </c>
      <c r="H14" s="2">
        <v>9185</v>
      </c>
    </row>
    <row r="15" spans="1:18" x14ac:dyDescent="0.2">
      <c r="A15">
        <v>8</v>
      </c>
      <c r="B15" t="s">
        <v>70</v>
      </c>
      <c r="C15" s="2">
        <v>7177</v>
      </c>
      <c r="D15" s="2">
        <v>1262</v>
      </c>
      <c r="E15" s="2">
        <v>8915</v>
      </c>
      <c r="F15" s="2">
        <v>7177</v>
      </c>
      <c r="G15" s="2">
        <v>1262</v>
      </c>
      <c r="H15" s="2">
        <v>8915</v>
      </c>
    </row>
    <row r="16" spans="1:18" x14ac:dyDescent="0.2">
      <c r="A16">
        <v>9</v>
      </c>
      <c r="B16" t="s">
        <v>71</v>
      </c>
      <c r="C16" s="2">
        <v>6978</v>
      </c>
      <c r="D16" s="2">
        <v>1330</v>
      </c>
      <c r="E16" s="2">
        <v>8829</v>
      </c>
      <c r="F16" s="2">
        <v>6978</v>
      </c>
      <c r="G16" s="2">
        <v>1330</v>
      </c>
      <c r="H16" s="2">
        <v>8829</v>
      </c>
    </row>
    <row r="17" spans="1:9" x14ac:dyDescent="0.2">
      <c r="A17">
        <v>10</v>
      </c>
      <c r="B17" t="s">
        <v>72</v>
      </c>
      <c r="C17" s="2">
        <v>7111</v>
      </c>
      <c r="D17" s="2">
        <v>1339</v>
      </c>
      <c r="E17" s="2">
        <v>9328</v>
      </c>
      <c r="F17" s="2">
        <v>7111</v>
      </c>
      <c r="G17" s="2">
        <v>1339</v>
      </c>
      <c r="H17" s="2">
        <v>9328</v>
      </c>
    </row>
    <row r="18" spans="1:9" x14ac:dyDescent="0.2">
      <c r="A18">
        <v>11</v>
      </c>
      <c r="B18" t="s">
        <v>73</v>
      </c>
      <c r="C18" s="2">
        <v>6739</v>
      </c>
      <c r="D18" s="2">
        <v>1335</v>
      </c>
      <c r="E18" s="2">
        <v>8797</v>
      </c>
      <c r="F18" s="2">
        <v>6739</v>
      </c>
      <c r="G18" s="2">
        <v>1335</v>
      </c>
      <c r="H18" s="2">
        <v>8797</v>
      </c>
    </row>
    <row r="19" spans="1:9" x14ac:dyDescent="0.2">
      <c r="A19">
        <v>12</v>
      </c>
      <c r="B19" t="s">
        <v>74</v>
      </c>
      <c r="C19" s="2">
        <v>6569</v>
      </c>
      <c r="D19" s="2">
        <v>1295</v>
      </c>
      <c r="E19" s="2">
        <v>8922</v>
      </c>
      <c r="F19" s="6">
        <f t="shared" ref="F19:F37" si="1">F18-O$4</f>
        <v>6504</v>
      </c>
      <c r="G19" s="6">
        <f t="shared" ref="G19:G37" si="2">G18-P$4</f>
        <v>1300.2</v>
      </c>
      <c r="H19" s="6">
        <f t="shared" ref="H19:H37" si="3">H18-Q$4</f>
        <v>8637</v>
      </c>
    </row>
    <row r="20" spans="1:9" x14ac:dyDescent="0.2">
      <c r="A20">
        <v>13</v>
      </c>
      <c r="B20" t="s">
        <v>75</v>
      </c>
      <c r="C20" s="2">
        <v>6823</v>
      </c>
      <c r="D20" s="2">
        <v>1361</v>
      </c>
      <c r="E20" s="2">
        <v>9202</v>
      </c>
      <c r="F20" s="2">
        <f t="shared" si="1"/>
        <v>6269</v>
      </c>
      <c r="G20" s="7">
        <f t="shared" si="2"/>
        <v>1265.4000000000001</v>
      </c>
      <c r="H20" s="2">
        <f t="shared" si="3"/>
        <v>8477</v>
      </c>
    </row>
    <row r="21" spans="1:9" x14ac:dyDescent="0.2">
      <c r="A21">
        <v>14</v>
      </c>
      <c r="B21" t="s">
        <v>76</v>
      </c>
      <c r="C21" s="2">
        <v>6961</v>
      </c>
      <c r="D21" s="2">
        <v>1385</v>
      </c>
      <c r="E21" s="2">
        <v>9427</v>
      </c>
      <c r="F21" s="2">
        <f t="shared" si="1"/>
        <v>6034</v>
      </c>
      <c r="G21" s="7">
        <f t="shared" si="2"/>
        <v>1230.6000000000001</v>
      </c>
      <c r="H21" s="2">
        <f t="shared" si="3"/>
        <v>8317</v>
      </c>
    </row>
    <row r="22" spans="1:9" x14ac:dyDescent="0.2">
      <c r="A22">
        <v>15</v>
      </c>
      <c r="B22" t="s">
        <v>77</v>
      </c>
      <c r="C22" s="2">
        <v>6810</v>
      </c>
      <c r="D22" s="2">
        <v>1471</v>
      </c>
      <c r="E22" s="2">
        <v>9425</v>
      </c>
      <c r="F22" s="2">
        <f t="shared" si="1"/>
        <v>5799</v>
      </c>
      <c r="G22" s="7">
        <f t="shared" si="2"/>
        <v>1195.8000000000002</v>
      </c>
      <c r="H22" s="2">
        <f t="shared" si="3"/>
        <v>8157</v>
      </c>
    </row>
    <row r="23" spans="1:9" x14ac:dyDescent="0.2">
      <c r="A23">
        <v>16</v>
      </c>
      <c r="B23" t="s">
        <v>78</v>
      </c>
      <c r="C23" s="2">
        <v>6857</v>
      </c>
      <c r="D23" s="2">
        <v>1366</v>
      </c>
      <c r="E23" s="2">
        <v>9373</v>
      </c>
      <c r="F23" s="2">
        <f t="shared" si="1"/>
        <v>5564</v>
      </c>
      <c r="G23" s="7">
        <f t="shared" si="2"/>
        <v>1161.0000000000002</v>
      </c>
      <c r="H23" s="2">
        <f t="shared" si="3"/>
        <v>7997</v>
      </c>
    </row>
    <row r="24" spans="1:9" x14ac:dyDescent="0.2">
      <c r="A24">
        <v>17</v>
      </c>
      <c r="B24" t="s">
        <v>79</v>
      </c>
      <c r="C24" s="2">
        <v>7172</v>
      </c>
      <c r="D24" s="2">
        <v>1502</v>
      </c>
      <c r="E24" s="2">
        <v>9886</v>
      </c>
      <c r="F24" s="2">
        <f t="shared" si="1"/>
        <v>5329</v>
      </c>
      <c r="G24" s="7">
        <f t="shared" si="2"/>
        <v>1126.2000000000003</v>
      </c>
      <c r="H24" s="2">
        <f t="shared" si="3"/>
        <v>7837</v>
      </c>
    </row>
    <row r="25" spans="1:9" x14ac:dyDescent="0.2">
      <c r="A25">
        <v>18</v>
      </c>
      <c r="B25" t="s">
        <v>80</v>
      </c>
      <c r="C25" s="2">
        <v>7790</v>
      </c>
      <c r="D25" s="2">
        <v>1649</v>
      </c>
      <c r="E25" s="2">
        <v>10163</v>
      </c>
      <c r="F25" s="2">
        <f t="shared" si="1"/>
        <v>5094</v>
      </c>
      <c r="G25" s="7">
        <f t="shared" si="2"/>
        <v>1091.4000000000003</v>
      </c>
      <c r="H25" s="2">
        <f t="shared" si="3"/>
        <v>7677</v>
      </c>
    </row>
    <row r="26" spans="1:9" x14ac:dyDescent="0.2">
      <c r="A26">
        <v>19</v>
      </c>
      <c r="B26" t="s">
        <v>81</v>
      </c>
      <c r="C26" s="2">
        <v>8662</v>
      </c>
      <c r="D26" s="2">
        <v>1635</v>
      </c>
      <c r="E26" s="2">
        <v>10084</v>
      </c>
      <c r="F26" s="2">
        <f t="shared" si="1"/>
        <v>4859</v>
      </c>
      <c r="G26" s="7">
        <f t="shared" si="2"/>
        <v>1056.6000000000004</v>
      </c>
      <c r="H26" s="2">
        <f t="shared" si="3"/>
        <v>7517</v>
      </c>
      <c r="I26" t="s">
        <v>149</v>
      </c>
    </row>
    <row r="27" spans="1:9" x14ac:dyDescent="0.2">
      <c r="A27">
        <v>20</v>
      </c>
      <c r="B27" t="s">
        <v>82</v>
      </c>
      <c r="C27" s="2">
        <v>2929</v>
      </c>
      <c r="D27" s="2">
        <v>799</v>
      </c>
      <c r="E27" s="2">
        <v>6707</v>
      </c>
      <c r="F27" s="2">
        <f t="shared" si="1"/>
        <v>4624</v>
      </c>
      <c r="G27" s="7">
        <f t="shared" si="2"/>
        <v>1021.8000000000004</v>
      </c>
      <c r="H27" s="2">
        <f t="shared" si="3"/>
        <v>7357</v>
      </c>
    </row>
    <row r="28" spans="1:9" x14ac:dyDescent="0.2">
      <c r="A28">
        <v>21</v>
      </c>
      <c r="B28" t="s">
        <v>83</v>
      </c>
      <c r="C28" s="2">
        <v>2830</v>
      </c>
      <c r="D28" s="2">
        <v>755</v>
      </c>
      <c r="E28" s="2">
        <v>6282</v>
      </c>
      <c r="F28" s="2">
        <f t="shared" si="1"/>
        <v>4389</v>
      </c>
      <c r="G28" s="7">
        <f t="shared" si="2"/>
        <v>987.00000000000045</v>
      </c>
      <c r="H28" s="2">
        <f t="shared" si="3"/>
        <v>7197</v>
      </c>
    </row>
    <row r="29" spans="1:9" x14ac:dyDescent="0.2">
      <c r="A29">
        <v>22</v>
      </c>
      <c r="B29" t="s">
        <v>84</v>
      </c>
      <c r="C29" s="2">
        <v>2720</v>
      </c>
      <c r="D29" s="2">
        <v>746</v>
      </c>
      <c r="E29" s="2">
        <v>6166</v>
      </c>
      <c r="F29" s="2">
        <f t="shared" si="1"/>
        <v>4154</v>
      </c>
      <c r="G29" s="7">
        <f t="shared" si="2"/>
        <v>952.2000000000005</v>
      </c>
      <c r="H29" s="2">
        <f t="shared" si="3"/>
        <v>7037</v>
      </c>
    </row>
    <row r="30" spans="1:9" x14ac:dyDescent="0.2">
      <c r="A30">
        <v>23</v>
      </c>
      <c r="B30" t="s">
        <v>85</v>
      </c>
      <c r="C30" s="2">
        <v>2707</v>
      </c>
      <c r="D30" s="2">
        <v>763</v>
      </c>
      <c r="E30" s="2">
        <v>6137</v>
      </c>
      <c r="F30" s="2">
        <f t="shared" si="1"/>
        <v>3919</v>
      </c>
      <c r="G30" s="7">
        <f t="shared" si="2"/>
        <v>917.40000000000055</v>
      </c>
      <c r="H30" s="2">
        <f t="shared" si="3"/>
        <v>6877</v>
      </c>
    </row>
    <row r="31" spans="1:9" x14ac:dyDescent="0.2">
      <c r="A31">
        <v>24</v>
      </c>
      <c r="B31" t="s">
        <v>86</v>
      </c>
      <c r="C31" s="2">
        <v>2659</v>
      </c>
      <c r="D31" s="2">
        <v>739</v>
      </c>
      <c r="E31" s="2">
        <v>5945</v>
      </c>
      <c r="F31" s="2">
        <f t="shared" si="1"/>
        <v>3684</v>
      </c>
      <c r="G31" s="7">
        <f t="shared" si="2"/>
        <v>882.60000000000059</v>
      </c>
      <c r="H31" s="2">
        <f t="shared" si="3"/>
        <v>6717</v>
      </c>
    </row>
    <row r="32" spans="1:9" x14ac:dyDescent="0.2">
      <c r="A32">
        <v>25</v>
      </c>
      <c r="B32" t="s">
        <v>87</v>
      </c>
      <c r="C32" s="2">
        <v>2568</v>
      </c>
      <c r="D32" s="2">
        <v>699</v>
      </c>
      <c r="E32" s="2">
        <v>6129</v>
      </c>
      <c r="F32" s="2">
        <f t="shared" si="1"/>
        <v>3449</v>
      </c>
      <c r="G32" s="7">
        <f t="shared" si="2"/>
        <v>847.80000000000064</v>
      </c>
      <c r="H32" s="2">
        <f t="shared" si="3"/>
        <v>6557</v>
      </c>
    </row>
    <row r="33" spans="1:8" x14ac:dyDescent="0.2">
      <c r="A33">
        <v>26</v>
      </c>
      <c r="B33" t="s">
        <v>88</v>
      </c>
      <c r="C33" s="2">
        <v>2530</v>
      </c>
      <c r="D33" s="2">
        <v>732</v>
      </c>
      <c r="E33" s="2">
        <v>5939</v>
      </c>
      <c r="F33" s="2">
        <f t="shared" si="1"/>
        <v>3214</v>
      </c>
      <c r="G33" s="7">
        <f t="shared" si="2"/>
        <v>813.00000000000068</v>
      </c>
      <c r="H33" s="2">
        <f t="shared" si="3"/>
        <v>6397</v>
      </c>
    </row>
    <row r="34" spans="1:8" x14ac:dyDescent="0.2">
      <c r="A34">
        <v>27</v>
      </c>
      <c r="B34" t="s">
        <v>89</v>
      </c>
      <c r="C34" s="2">
        <v>2449</v>
      </c>
      <c r="D34" s="2">
        <v>674</v>
      </c>
      <c r="E34" s="2">
        <v>5961</v>
      </c>
      <c r="F34" s="2">
        <f t="shared" si="1"/>
        <v>2979</v>
      </c>
      <c r="G34" s="7">
        <f t="shared" si="2"/>
        <v>778.20000000000073</v>
      </c>
      <c r="H34" s="2">
        <f t="shared" si="3"/>
        <v>6237</v>
      </c>
    </row>
    <row r="35" spans="1:8" x14ac:dyDescent="0.2">
      <c r="A35">
        <v>28</v>
      </c>
      <c r="B35" t="s">
        <v>90</v>
      </c>
      <c r="C35" s="2">
        <v>2333</v>
      </c>
      <c r="D35" s="2">
        <v>667</v>
      </c>
      <c r="E35" s="2">
        <v>5819</v>
      </c>
      <c r="F35" s="2">
        <f t="shared" si="1"/>
        <v>2744</v>
      </c>
      <c r="G35" s="7">
        <f t="shared" si="2"/>
        <v>743.40000000000077</v>
      </c>
      <c r="H35" s="2">
        <f t="shared" si="3"/>
        <v>6077</v>
      </c>
    </row>
    <row r="36" spans="1:8" x14ac:dyDescent="0.2">
      <c r="A36">
        <v>29</v>
      </c>
      <c r="B36" t="s">
        <v>91</v>
      </c>
      <c r="C36" s="2">
        <v>2377</v>
      </c>
      <c r="D36" s="2">
        <v>711</v>
      </c>
      <c r="E36" s="2">
        <v>5878</v>
      </c>
      <c r="F36" s="2">
        <f t="shared" si="1"/>
        <v>2509</v>
      </c>
      <c r="G36" s="7">
        <f t="shared" si="2"/>
        <v>708.60000000000082</v>
      </c>
      <c r="H36" s="2">
        <f t="shared" si="3"/>
        <v>5917</v>
      </c>
    </row>
    <row r="37" spans="1:8" x14ac:dyDescent="0.2">
      <c r="A37">
        <v>30</v>
      </c>
      <c r="B37" t="s">
        <v>92</v>
      </c>
      <c r="C37" s="2">
        <v>2290</v>
      </c>
      <c r="D37" s="2">
        <v>676</v>
      </c>
      <c r="E37" s="2">
        <v>5722</v>
      </c>
      <c r="F37" s="2">
        <f t="shared" si="1"/>
        <v>2274</v>
      </c>
      <c r="G37" s="7">
        <f t="shared" si="2"/>
        <v>673.80000000000086</v>
      </c>
      <c r="H37" s="2">
        <f t="shared" si="3"/>
        <v>5757</v>
      </c>
    </row>
  </sheetData>
  <pageMargins left="0.7" right="0.7" top="0.75" bottom="0.75" header="0.3" footer="0.3"/>
  <ignoredErrors>
    <ignoredError sqref="O5:Q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66-96k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Neidle</dc:creator>
  <cp:lastModifiedBy>Dan Neidle</cp:lastModifiedBy>
  <dcterms:created xsi:type="dcterms:W3CDTF">2023-01-10T10:53:48Z</dcterms:created>
  <dcterms:modified xsi:type="dcterms:W3CDTF">2023-01-27T11:28:44Z</dcterms:modified>
</cp:coreProperties>
</file>