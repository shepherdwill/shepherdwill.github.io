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1.xml" ContentType="application/vnd.openxmlformats-officedocument.drawing+xml"/>
  <Override PartName="/xl/tables/table1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613"/>
  <workbookPr dateCompatibility="0" defaultThemeVersion="166925"/>
  <mc:AlternateContent xmlns:mc="http://schemas.openxmlformats.org/markup-compatibility/2006">
    <mc:Choice Requires="x15">
      <x15ac:absPath xmlns:x15ac="http://schemas.microsoft.com/office/spreadsheetml/2010/11/ac" url="/Users/willshepherd/shepherdwill.github.io/Other policy things/ISA/"/>
    </mc:Choice>
  </mc:AlternateContent>
  <xr:revisionPtr revIDLastSave="0" documentId="13_ncr:9_{AD85DE17-AF4E-6348-A66A-2FB7804ABAF1}" xr6:coauthVersionLast="47" xr6:coauthVersionMax="47" xr10:uidLastSave="{00000000-0000-0000-0000-000000000000}"/>
  <bookViews>
    <workbookView xWindow="0" yWindow="500" windowWidth="28800" windowHeight="16620" firstSheet="1" activeTab="7" xr2:uid="{00000000-000D-0000-FFFF-FFFF00000000}"/>
  </bookViews>
  <sheets>
    <sheet name="Cover_Sheet" sheetId="1" r:id="rId1"/>
    <sheet name="Contents" sheetId="2" r:id="rId2"/>
    <sheet name="9_4_ISA_subscriptions" sheetId="3" r:id="rId3"/>
    <sheet name="9_6_ISA_market_values" sheetId="4" r:id="rId4"/>
    <sheet name="9_7_ISA_subs_by_income" sheetId="5" r:id="rId5"/>
    <sheet name="9_8_ISA_subs_by_age_sex" sheetId="6" r:id="rId6"/>
    <sheet name="9_9_ISA_subs_by_country_region" sheetId="7" r:id="rId7"/>
    <sheet name="9_10_ISA_market_values_income" sheetId="8" r:id="rId8"/>
    <sheet name="9_11ISA_market_value_by_age_sex" sheetId="9" r:id="rId9"/>
    <sheet name="9_12ISA_market_values_by_region" sheetId="10" r:id="rId10"/>
  </sheet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purl.oclc.org/ooxml/spreadsheetml/main">
  <c r="J8" i="6" l="1"/>
  <c r="J9" i="6"/>
  <c r="J10" i="6"/>
  <c r="J11" i="6"/>
  <c r="J12" i="6"/>
  <c r="J13" i="6"/>
  <c r="J14" i="6"/>
  <c r="J15" i="6"/>
  <c r="J16" i="6"/>
  <c r="J17" i="6"/>
  <c r="J18" i="6"/>
  <c r="J19" i="6"/>
  <c r="J20" i="6"/>
  <c r="J21" i="6"/>
  <c r="J22" i="6"/>
  <c r="J23" i="6"/>
  <c r="J24" i="6"/>
  <c r="J25" i="6"/>
  <c r="J26" i="6"/>
  <c r="J27" i="6"/>
  <c r="J7" i="6"/>
  <c r="I9" i="6"/>
  <c r="I10" i="6"/>
  <c r="I11" i="6"/>
  <c r="I12" i="6"/>
  <c r="I13" i="6"/>
  <c r="I14" i="6"/>
  <c r="I15" i="6"/>
  <c r="I16" i="6"/>
  <c r="I17" i="6"/>
  <c r="I18" i="6"/>
  <c r="I19" i="6"/>
  <c r="I20" i="6"/>
  <c r="I21" i="6"/>
  <c r="I22" i="6"/>
  <c r="I23" i="6"/>
  <c r="I24" i="6"/>
  <c r="I25" i="6"/>
  <c r="I26" i="6"/>
  <c r="I27" i="6"/>
  <c r="I7" i="6"/>
  <c r="I8" i="6"/>
</calcChain>
</file>

<file path=xl/sharedStrings.xml><?xml version="1.0" encoding="utf-8"?>
<sst xmlns="http://purl.oclc.org/ooxml/spreadsheetml/main" count="696" uniqueCount="239">
  <si>
    <t xml:space="preserve"> Individual Savings Account (ISA) Statistics, September 2025</t>
  </si>
  <si>
    <t>This publication includes information on the number of Individual Savings Accounts, value of subscriptions and market values.</t>
  </si>
  <si>
    <t>The publication also includes statistics on average subscriptions and figures split by sex, age, region and income.</t>
  </si>
  <si>
    <t>Release date: 18 September 2025. Next release: September 2026. Frequency of publication: Annual</t>
  </si>
  <si>
    <t>Statistical contacts:</t>
  </si>
  <si>
    <t>N Attridge</t>
  </si>
  <si>
    <t>B Kim</t>
  </si>
  <si>
    <t>A How</t>
  </si>
  <si>
    <t>personaltax.statistics@hmrc.gov.uk</t>
  </si>
  <si>
    <t>HM Revenue and Customs, 100 Parliament Street, London, SW1A 2BQ</t>
  </si>
  <si>
    <t>Media contact:</t>
  </si>
  <si>
    <t xml:space="preserve">HMRC Press Office </t>
  </si>
  <si>
    <t>news.desk@hmrc.gov.uk</t>
  </si>
  <si>
    <t>Feedback</t>
  </si>
  <si>
    <t>We are changing how our releases look and welcome feedback on any aspect of this release at:</t>
  </si>
  <si>
    <t xml:space="preserve">Bulletin is Crown copyright. Information may be used provided that the source is acknowledged.
</t>
  </si>
  <si>
    <t>End of worksheet</t>
  </si>
  <si>
    <t>Contents: Individual Savings Account (ISAs) Statistics, September 2025</t>
  </si>
  <si>
    <t>Worksheet tab</t>
  </si>
  <si>
    <t>Purpose</t>
  </si>
  <si>
    <t>9.4 ISA_subscriptions</t>
  </si>
  <si>
    <t>Number of ISAs, amounts subscribed to each component and average subscription per account, between 2008 to 2009 and 2023 to 2024.</t>
  </si>
  <si>
    <t>9.6 ISA_market_values</t>
  </si>
  <si>
    <t>Market values of funds as of 5 April 2024, by type of qualifying investment.</t>
  </si>
  <si>
    <t>9.7_ISA_subs_by_income</t>
  </si>
  <si>
    <t>Number of individuals subscribing to ISAs in the tax year 2022 to 2023, by income and amount of subscription.</t>
  </si>
  <si>
    <t>9.8 ISA_subs_by_age_sex</t>
  </si>
  <si>
    <t>Number of individuals subscribing to ISAs in the tax year 2022 to 2023, by age and sex.</t>
  </si>
  <si>
    <t>9.9 ISA_subs_by_country_region</t>
  </si>
  <si>
    <t>Number of individuals subscribing to ISAs in the tax year 2022 to 2023, by country and region.</t>
  </si>
  <si>
    <t>9.10 ISA_market_values_by_income</t>
  </si>
  <si>
    <t>Number of individuals holding ISAs by income and market value, as at end of tax year 2022 to 2023.</t>
  </si>
  <si>
    <t>9.11 ISA_market_values_by_age_sex</t>
  </si>
  <si>
    <t>Number of individuals holding ISAs by age, sex and market value, as at end of tax year 2022 to 2023.</t>
  </si>
  <si>
    <t>9.12 ISA_market_values_by_region</t>
  </si>
  <si>
    <t>Number of individuals holding ISAs by country, region and market value, and as a percentage of the UK adult population, as at end of tax year 2022 to 2023.</t>
  </si>
  <si>
    <t>9.4: Individual Savings Accounts (ISAs)</t>
  </si>
  <si>
    <t>These tables include figures on number of ISAs, amounts subscribed to each component and average subscription per account.</t>
  </si>
  <si>
    <t xml:space="preserve">The below tables shows the number of ISAs to which subscriptions have been made and amounts invested, split by type of component. The information in the tables comes from the annual returns that must be made to HMRC by ISA managers. Annual subscriptions are as reported to HMRC by providers for financial years ending 5 April. Adjustments have been made for missing and incorrect returns. </t>
  </si>
  <si>
    <t>From 2017 to 2018 the annual subscription limit has been £20,000. 2017 to 2018 is the first year for which Lifetime ISAs were available. The annual subscription limit for Lifetime ISAs is £4,000, although those with Help to Buy ISAs could transfer in their account balance without affecting their annual subscription limit up until 5 April 2018. The government provides a 25% bonus on this amount, which is not reported in these statistics.</t>
  </si>
  <si>
    <t>Numbers are in thousands, Amounts are in £ million and Averages are in £.</t>
  </si>
  <si>
    <t>[too small] indicates figures are too small to report given the units in which data is presented in this table.</t>
  </si>
  <si>
    <t xml:space="preserve">Data on Innovative Finance ISAs has low reliability based on not yet holding full information from providers. </t>
  </si>
  <si>
    <t>Adult ISAs between 2008 to 2009 and 2023 to 2024</t>
  </si>
  <si>
    <t>Number of accounts subscribed in current year (thousands)</t>
  </si>
  <si>
    <t>2008 to 2009</t>
  </si>
  <si>
    <t>2009 to 2010</t>
  </si>
  <si>
    <t>2010 to 2011</t>
  </si>
  <si>
    <t>2011 to 2012</t>
  </si>
  <si>
    <t>2012 to 2013</t>
  </si>
  <si>
    <t>2013 to 2014</t>
  </si>
  <si>
    <t>2014 to 2015</t>
  </si>
  <si>
    <t>2015 to 2016</t>
  </si>
  <si>
    <t>2016 to 2017</t>
  </si>
  <si>
    <t>2017 to 2018</t>
  </si>
  <si>
    <t xml:space="preserve">2018 to 2019 </t>
  </si>
  <si>
    <t>2019 to 2020</t>
  </si>
  <si>
    <t>2020 to 2021</t>
  </si>
  <si>
    <t>2021 to 2022</t>
  </si>
  <si>
    <t>2022 to 2023</t>
  </si>
  <si>
    <r>
      <t xml:space="preserve">2023 to 2024 </t>
    </r>
    <r>
      <rPr>
        <sz val="12"/>
        <color rgb="FF000000"/>
        <rFont val="Arial"/>
        <family val="2"/>
      </rPr>
      <t>[provisional]</t>
    </r>
  </si>
  <si>
    <t>Cash ISA</t>
  </si>
  <si>
    <t>Stock and Shares ISA</t>
  </si>
  <si>
    <t>Innovative Finance ISA</t>
  </si>
  <si>
    <t>[not available]</t>
  </si>
  <si>
    <t>Lifetime ISA</t>
  </si>
  <si>
    <t>Total</t>
  </si>
  <si>
    <t xml:space="preserve">Stocks and Shares Insurance Component </t>
  </si>
  <si>
    <t>Amounts subscribed (£ million)</t>
  </si>
  <si>
    <t>Stocks and shares insurance component</t>
  </si>
  <si>
    <t>Average subscription per account (£)</t>
  </si>
  <si>
    <t>Junior ISAs (introduced from 1 November 2011)</t>
  </si>
  <si>
    <t>2018 to 2019</t>
  </si>
  <si>
    <t>Cash</t>
  </si>
  <si>
    <t>Stocks and Shares</t>
  </si>
  <si>
    <t>[too small]</t>
  </si>
  <si>
    <t>Average subscription 
per account (£)</t>
  </si>
  <si>
    <t>9.6: Individual Savings Accounts (ISAs)</t>
  </si>
  <si>
    <t>This table shows market value of funds as of 5 April 2024, by type of qualifying investment.</t>
  </si>
  <si>
    <t>The information in the tables comes from the annual returns that must be made to the HMRC by ISA managers. Adjustments have been made for missing and incorrect returns.</t>
  </si>
  <si>
    <t>The surrender value of policies Market Valuation date may be from 5 October of the year of return. PEP refers to Personal Equity Plans.</t>
  </si>
  <si>
    <t>Market values of Unit Trusts and Open Ended Investment Companies excludes those invested in corporate bonds. Cash component also includes Tax Exempt Special Savings Accounts (TESSA) only ISAs.</t>
  </si>
  <si>
    <t xml:space="preserve">Junior ISAs were introduced in November 2011. </t>
  </si>
  <si>
    <t xml:space="preserve">Cash and stocks &amp; shares Junior ISA subscriptions in 2011 to 2012 cannot be shown seperately because of statistical disclosure arising from ISA provider market dominance. This suppression is in accordance with National Statistics preserving confidentiality in published statistical information. </t>
  </si>
  <si>
    <t>Lifetime ISAs market values are included in the overall total market values for Cash ISAs and Stocks and Shares ISAs.</t>
  </si>
  <si>
    <t>Market values of Corporate Bond Funds have been revised for tax years 2016 to 2017, 2021 to 2022, and 2022 to 2023.</t>
  </si>
  <si>
    <t xml:space="preserve">Tax Year </t>
  </si>
  <si>
    <t>2011 to 2012 (£ million)</t>
  </si>
  <si>
    <t>2012 to 2013 (£ million)</t>
  </si>
  <si>
    <t>2013 to 2014 (£ million)</t>
  </si>
  <si>
    <t>2014 to 2015 (£ million)</t>
  </si>
  <si>
    <t>2015 to 2016 (£ million)</t>
  </si>
  <si>
    <t>2016 to 2017 (£ million)</t>
  </si>
  <si>
    <t>2017 to 2018 (£ million)</t>
  </si>
  <si>
    <t>2018 to 2019 (£ million)</t>
  </si>
  <si>
    <t>2019 to 2020 (£ million)</t>
  </si>
  <si>
    <t>2020 to 2021 (£ million)</t>
  </si>
  <si>
    <t>2021 to 2022 (£ million)</t>
  </si>
  <si>
    <t>2022 to 2023 (£ million)</t>
  </si>
  <si>
    <t>2023 to 2024 (£ million)</t>
  </si>
  <si>
    <t>Adult ISAs : Stocks &amp; Shares Component</t>
  </si>
  <si>
    <t>Shares</t>
  </si>
  <si>
    <t>Shares traded on a recognised stock exchange in the EEA &amp; UK</t>
  </si>
  <si>
    <t>Securities</t>
  </si>
  <si>
    <t>Gilts</t>
  </si>
  <si>
    <t>Unit Trusts</t>
  </si>
  <si>
    <t>Shares in Open Ended Investment Companies (OEICs)</t>
  </si>
  <si>
    <t>Corporate Bond Funds</t>
  </si>
  <si>
    <t>Investment Trusts</t>
  </si>
  <si>
    <t>Units/Shares in Undertaking for Collective Investment In Transferable Securities</t>
  </si>
  <si>
    <t>Surrender value of policies</t>
  </si>
  <si>
    <t>Cash on deposit</t>
  </si>
  <si>
    <t>Total ISA and PEP Stocks &amp; Shares Funds</t>
  </si>
  <si>
    <t>Adult ISAs: Cash Component</t>
  </si>
  <si>
    <t xml:space="preserve">Other Investment Products </t>
  </si>
  <si>
    <t>Total ISA Cash Component (including TESSA)</t>
  </si>
  <si>
    <t>Adult ISAs : Innovative Finance Component</t>
  </si>
  <si>
    <t>Outstanding principal balance of Innovative Finance loans</t>
  </si>
  <si>
    <t>Total ISA Innovative Finance Component</t>
  </si>
  <si>
    <t>Total Adult ISA and PEP Funds</t>
  </si>
  <si>
    <t>Junior ISAs</t>
  </si>
  <si>
    <t>Stocks &amp; Shares Component</t>
  </si>
  <si>
    <t xml:space="preserve">Cash Component </t>
  </si>
  <si>
    <t>Total Junior ISA Funds</t>
  </si>
  <si>
    <t xml:space="preserve">End of worksheet </t>
  </si>
  <si>
    <t>9.7: Individual Savings Accounts (ISAs)</t>
  </si>
  <si>
    <t>This table includes information on the number of individuals subscribing to ISAs in the tax year 2022 to 2023, by income and amount of subscription.</t>
  </si>
  <si>
    <t>The 2022 to 2023 tax year relates to dates of 6 April 2022 to 5 April 2023.</t>
  </si>
  <si>
    <t>The total number of ISA holders is not reported by ISA managers. Estimates of the total numbers of ISA holders are based on average market values of ISAs for a sample of individuals combined with reported aggregate ISA market values (from Table 9.6).</t>
  </si>
  <si>
    <t>In column titles, no further subscription represents individuals holding possibly one or more ISA account (variously cash, stocks &amp; share, or a combination of both) but who did not make a further subscription during the 2022 to 2023 year.</t>
  </si>
  <si>
    <t xml:space="preserve">Range of Income of All ISA Subscribers (maximum combined subscription £20,000) </t>
  </si>
  <si>
    <t>£1-£2,499
(thousands)</t>
  </si>
  <si>
    <t>£2,500-£4,999
(thousands)</t>
  </si>
  <si>
    <t>£5,000-£7,499
(thousands)</t>
  </si>
  <si>
    <t>£7,500-£9,999
(thousands)</t>
  </si>
  <si>
    <t>£10,000-£12,499
(thousands)</t>
  </si>
  <si>
    <t>£12,500-£14,999
(thousands)</t>
  </si>
  <si>
    <t>£15,000- £17,499
(thousands)</t>
  </si>
  <si>
    <t>£17,500- £19,999
(thousands)</t>
  </si>
  <si>
    <t>£20,000
(thousands)</t>
  </si>
  <si>
    <t>All Subscriptions
(thousands)</t>
  </si>
  <si>
    <t>No further subscription
(thousands)</t>
  </si>
  <si>
    <t>All ISA holders
(thousands)</t>
  </si>
  <si>
    <t>£0-£4,999</t>
  </si>
  <si>
    <t>£5,000-£9,999</t>
  </si>
  <si>
    <t>£10,000-£19,999</t>
  </si>
  <si>
    <t>£20,000-£29,999</t>
  </si>
  <si>
    <t>£30,000-£49,999</t>
  </si>
  <si>
    <t>£50,000-£99,999</t>
  </si>
  <si>
    <t>£100,000-£149,999</t>
  </si>
  <si>
    <t>£150,000 or more</t>
  </si>
  <si>
    <t>All ranges</t>
  </si>
  <si>
    <t>Range of Income of Cash ISA Subscribers Only</t>
  </si>
  <si>
    <t>Range of Income of Stocks &amp; Shares ISA Subscribers Only</t>
  </si>
  <si>
    <t>Range of Income of Cash and Stocks &amp; Shares ISA Subscribers</t>
  </si>
  <si>
    <t>9.8: Individual Savings Accounts (ISAs)</t>
  </si>
  <si>
    <t>This table includes information on the number of individuals subscribing to ISAs in the tax year 2022 to 2023, by age and sex.</t>
  </si>
  <si>
    <t>Type of ISA</t>
  </si>
  <si>
    <t>Cash ISA
(thousands)</t>
  </si>
  <si>
    <t>Stocks &amp; Shares ISA
(thousands)</t>
  </si>
  <si>
    <t>Stocks &amp; Shares and Cash ISA
(thousands)</t>
  </si>
  <si>
    <t>All ISA Holders
(thousands)</t>
  </si>
  <si>
    <t>Male Under 25</t>
  </si>
  <si>
    <t>Male 25-34</t>
  </si>
  <si>
    <t>Male 35-44</t>
  </si>
  <si>
    <t>Male 45-54</t>
  </si>
  <si>
    <t>Male 55-64</t>
  </si>
  <si>
    <t>Male 65 and over</t>
  </si>
  <si>
    <t>Male Total</t>
  </si>
  <si>
    <t>Female Under 25</t>
  </si>
  <si>
    <t>Female 25-34</t>
  </si>
  <si>
    <t>Female 35-44</t>
  </si>
  <si>
    <t>Female 45-54</t>
  </si>
  <si>
    <t>Female 55-64</t>
  </si>
  <si>
    <t>Female 65 and over</t>
  </si>
  <si>
    <t>Female Total</t>
  </si>
  <si>
    <t>Under 25</t>
  </si>
  <si>
    <t>25-34</t>
  </si>
  <si>
    <t>35-44</t>
  </si>
  <si>
    <t>45-54</t>
  </si>
  <si>
    <t>55-64</t>
  </si>
  <si>
    <t>65 and over</t>
  </si>
  <si>
    <t>9.9: Individual Savings Accounts (ISAs)</t>
  </si>
  <si>
    <t>This table includes information on the number of individuals subscribing to ISAs in the tax year 2022 to 2023, by country and region.</t>
  </si>
  <si>
    <t>Area Code</t>
  </si>
  <si>
    <t>[no code]</t>
  </si>
  <si>
    <t>England</t>
  </si>
  <si>
    <t>E12000001</t>
  </si>
  <si>
    <t>North East</t>
  </si>
  <si>
    <t>E12000002</t>
  </si>
  <si>
    <t>North West and Merseyside</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</si>
  <si>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</si>
  <si>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</si>
  <si>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</si>
  <si>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</si>
  <si>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</si>
  <si>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</si>
  <si>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</si>
  <si>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</si>
  <si>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</si>
  <si>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</si>
  <si>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</si>
  <si>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</si>
  <si>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</si>
  <si>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</si>
  <si>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W99999999</t>
  </si>
  <si>
    <t>Wales</t>
  </si>
  <si>
    <t>S99999999</t>
  </si>
  <si>
    <t>Scotland</t>
  </si>
  <si>
    <t>N99999999</t>
  </si>
  <si>
    <t>Northern Ireland</t>
  </si>
  <si>
    <t>Overseas and Unknown</t>
  </si>
  <si>
    <t>K02000001</t>
  </si>
  <si>
    <t>United Kingdom</t>
  </si>
  <si>
    <t>9.10: Individual Savings Accounts (ISAs)</t>
  </si>
  <si>
    <t>This table includes information on the number of individuals holding ISAs by income and market value, as at end of tax year 2022 to 2023.</t>
  </si>
  <si>
    <t>Range of Income of All ISA Holders</t>
  </si>
  <si>
    <t>£5,000-£9,999
(thousands)</t>
  </si>
  <si>
    <t>£10,000-£14,999
(thousands)</t>
  </si>
  <si>
    <t>£15,000-£19,999
(thousands)</t>
  </si>
  <si>
    <t>£20,000-£24,999
(thousands)</t>
  </si>
  <si>
    <t>£25,000-£49,999
(thousands)</t>
  </si>
  <si>
    <t>£50,000 or more
(thousands)</t>
  </si>
  <si>
    <t>Total
(thousands)</t>
  </si>
  <si>
    <t>Average ISA Market Value (£)</t>
  </si>
  <si>
    <t>Range of Income of Cash ISA Holders Only</t>
  </si>
  <si>
    <t>Range of Income of Stocks &amp; Shares ISA Holders Only</t>
  </si>
  <si>
    <t>Range of Income of Cash and Stocks &amp; Shares ISA Holders</t>
  </si>
  <si>
    <t>9.11: Individual Savings Accounts</t>
  </si>
  <si>
    <t>This table includes information on the number of individuals holding ISAs by age, sex and market value, as at end of tax year 2022 to 2023.</t>
  </si>
  <si>
    <t>Market Value</t>
  </si>
  <si>
    <t>9.12: Individual Savings Accounts (ISAs)</t>
  </si>
  <si>
    <t>This table includes information on the number of individuals holding ISAs by country, region and market value, and as a percentage of the UK adult population, as at end of tax year 2022 to 2023.</t>
  </si>
  <si>
    <t>Population estimates are taken from the Office for National Statistics (ONS) adult population estimates.</t>
  </si>
  <si>
    <t>In column titles, percentage of adults refers to all individuals aged 18 or over.</t>
  </si>
  <si>
    <t>Percentage of all adults (%)</t>
  </si>
  <si>
    <t>[Not Applicable]</t>
  </si>
  <si>
    <t>Cash ISA
share</t>
  </si>
  <si>
    <t>Stocks &amp; Shares ISA
share</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</si>
</sst>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
    <numFmt numFmtId="166" formatCode="[$£-809]#,##0;[Red]&quot;-&quot;[$£-809]#,##0"/>
    <numFmt numFmtId="167" formatCode="&quot; &quot;#,##0.00&quot; &quot;;&quot;-&quot;#,##0.00&quot; &quot;;&quot; -&quot;00&quot; &quot;;&quot; &quot;@&quot; &quot;"/>
  </numFmts>
  <fonts count="22" x14ac:knownFonts="1">
    <font>
      <sz val="10"/>
      <color rgb="FF000000"/>
      <name val="Arial"/>
      <family val="2"/>
    </font>
    <font>
      <sz val="10"/>
      <color rgb="FF000000"/>
      <name val="Arial"/>
      <family val="2"/>
    </font>
    <font>
      <u/>
      <sz val="11"/>
      <color rgb="FF0563C1"/>
      <name val="Calibri"/>
      <family val="2"/>
    </font>
    <font>
      <b/>
      <sz val="18"/>
      <color rgb="FFFFFFFF"/>
      <name val="Arial"/>
      <family val="2"/>
    </font>
    <font>
      <sz val="10"/>
      <color rgb="FFFFFFFF"/>
      <name val="Arial"/>
      <family val="2"/>
    </font>
    <font>
      <sz val="12"/>
      <color rgb="FF000000"/>
      <name val="Arial"/>
      <family val="2"/>
    </font>
    <font>
      <b/>
      <sz val="12"/>
      <color rgb="FF000000"/>
      <name val="Arial"/>
      <family val="2"/>
    </font>
    <font>
      <u/>
      <sz val="12"/>
      <color rgb="FF0563C1"/>
      <name val="Arial"/>
      <family val="2"/>
    </font>
    <font>
      <b/>
      <sz val="14"/>
      <color rgb="FF000000"/>
      <name val="Arial"/>
      <family val="2"/>
    </font>
    <font>
      <sz val="14"/>
      <color rgb="FF000000"/>
      <name val="Arial"/>
      <family val="2"/>
    </font>
    <font>
      <b/>
      <sz val="24"/>
      <color rgb="FFFFFFFF"/>
      <name val="Arial"/>
      <family val="2"/>
    </font>
    <font>
      <sz val="24"/>
      <color rgb="FFFFFFFF"/>
      <name val="Arial"/>
      <family val="2"/>
    </font>
    <font>
      <sz val="24"/>
      <color rgb="FFFFFFFF"/>
      <name val="Calibri"/>
      <family val="2"/>
    </font>
    <font>
      <sz val="12"/>
      <color rgb="FF000000"/>
      <name val="Calibri"/>
      <family val="2"/>
    </font>
    <font>
      <sz val="9"/>
      <color rgb="FF000000"/>
      <name val="Arial"/>
      <family val="2"/>
    </font>
    <font>
      <sz val="12"/>
      <color rgb="FFFF0000"/>
      <name val="Calibri"/>
      <family val="2"/>
    </font>
    <font>
      <sz val="8"/>
      <color rgb="FFFFFFFF"/>
      <name val="Arial"/>
      <family val="2"/>
    </font>
    <font>
      <sz val="8"/>
      <color rgb="FF000000"/>
      <name val="Arial"/>
      <family val="2"/>
    </font>
    <font>
      <b/>
      <sz val="14"/>
      <color rgb="FFFFFFFF"/>
      <name val="Arial"/>
      <family val="2"/>
    </font>
    <font>
      <b/>
      <sz val="10"/>
      <color rgb="FF000000"/>
      <name val="Arial"/>
      <family val="2"/>
    </font>
    <font>
      <sz val="18"/>
      <color rgb="FFFFFFFF"/>
      <name val="Arial"/>
      <family val="2"/>
    </font>
    <font>
      <b/>
      <sz val="8"/>
      <color rgb="FF000000"/>
      <name val="Arial"/>
      <family val="2"/>
    </font>
  </fonts>
  <fills count="4">
    <fill>
      <patternFill patternType="none"/>
    </fill>
    <fill>
      <patternFill patternType="gray125"/>
    </fill>
    <fill>
      <patternFill patternType="solid">
        <fgColor rgb="FF008670"/>
        <bgColor rgb="FF008670"/>
      </patternFill>
    </fill>
    <fill>
      <patternFill patternType="solid">
        <fgColor rgb="FFFFFFFF"/>
        <bgColor rgb="FFFFFFFF"/>
      </patternFill>
    </fill>
  </fills>
  <borders count="9">
    <border>
      <start/>
      <end/>
      <top/>
      <bottom/>
      <diagonal/>
    </border>
    <border>
      <start style="thin">
        <color rgb="FF000000"/>
      </start>
      <end/>
      <top style="thin">
        <color rgb="FF000000"/>
      </top>
      <bottom/>
      <diagonal/>
    </border>
    <border>
      <start/>
      <end style="thin">
        <color rgb="FF000000"/>
      </end>
      <top style="thin">
        <color rgb="FF000000"/>
      </top>
      <bottom/>
      <diagonal/>
    </border>
    <border>
      <start style="thin">
        <color rgb="FF000000"/>
      </start>
      <end/>
      <top/>
      <bottom/>
      <diagonal/>
    </border>
    <border>
      <start/>
      <end style="thin">
        <color rgb="FF000000"/>
      </end>
      <top/>
      <bottom/>
      <diagonal/>
    </border>
    <border>
      <start style="thin">
        <color rgb="FF000000"/>
      </start>
      <end/>
      <top/>
      <bottom style="thin">
        <color rgb="FF000000"/>
      </bottom>
      <diagonal/>
    </border>
    <border>
      <start/>
      <end style="thin">
        <color rgb="FF000000"/>
      </end>
      <top/>
      <bottom style="thin">
        <color rgb="FF000000"/>
      </bottom>
      <diagonal/>
    </border>
    <border>
      <start/>
      <end/>
      <top/>
      <bottom style="thin">
        <color rgb="FF000000"/>
      </bottom>
      <diagonal/>
    </border>
    <border>
      <start/>
      <end/>
      <top style="thin">
        <color rgb="FF000000"/>
      </top>
      <bottom/>
      <diagonal/>
    </border>
  </borders>
  <cellStyleXfs count="7">
    <xf numFmtId="0" fontId="0" fillId="0" borderId="0"/>
    <xf numFmtId="167" fontId="1" fillId="0" borderId="0" applyFont="0" applyFill="0" applyBorder="0" applyAlignment="0" applyProtection="0"/>
    <xf numFmtId="0" fontId="2" fillId="0" borderId="0" applyNumberFormat="0" applyFill="0" applyBorder="0" applyAlignment="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9" fontId="1" fillId="0" borderId="0" applyFont="0" applyFill="0" applyBorder="0" applyAlignment="0" applyProtection="0"/>
  </cellStyleXfs>
  <cellXfs count="121">
    <xf numFmtId="0" fontId="0" fillId="0" borderId="0" xfId="0"/>
    <xf numFmtId="0" fontId="3" fillId="2" borderId="0" xfId="0" applyFont="1" applyFill="1"/>
    <xf numFmtId="0" fontId="4" fillId="2" borderId="0" xfId="0" applyFont="1" applyFill="1"/>
    <xf numFmtId="0" fontId="5" fillId="0" borderId="0" xfId="3" applyFont="1" applyFill="1" applyAlignment="1">
      <alignment horizontal="left" wrapText="1"/>
    </xf>
    <xf numFmtId="0" fontId="6" fillId="0" borderId="0" xfId="0" applyFont="1" applyFill="1" applyAlignment="1">
      <alignment horizontal="left" vertical="center" wrapText="1"/>
    </xf>
    <xf numFmtId="0" fontId="5" fillId="0" borderId="0" xfId="0" applyFont="1" applyFill="1" applyAlignment="1">
      <alignment horizontal="left" vertical="center" wrapText="1"/>
    </xf>
    <xf numFmtId="0" fontId="7" fillId="0" borderId="0" xfId="2" applyFont="1" applyFill="1" applyAlignment="1">
      <alignment horizontal="left" vertical="center" wrapText="1"/>
    </xf>
    <xf numFmtId="0" fontId="5" fillId="3" borderId="0" xfId="0" applyFont="1" applyFill="1" applyAlignment="1">
      <alignment horizontal="left" vertical="center" wrapText="1"/>
    </xf>
    <xf numFmtId="0" fontId="3" fillId="2" borderId="0" xfId="5" applyFont="1" applyFill="1" applyAlignment="1">
      <alignment horizontal="left" vertical="center"/>
    </xf>
    <xf numFmtId="0" fontId="4" fillId="2" borderId="0" xfId="3" applyFont="1" applyFill="1" applyAlignment="1">
      <alignment horizontal="left"/>
    </xf>
    <xf numFmtId="0" fontId="8" fillId="0" borderId="1" xfId="3" applyFont="1" applyFill="1" applyBorder="1" applyAlignment="1">
      <alignment horizontal="left" vertical="center"/>
    </xf>
    <xf numFmtId="0" fontId="8" fillId="0" borderId="2" xfId="3" applyFont="1" applyFill="1" applyBorder="1" applyAlignment="1">
      <alignment horizontal="left" vertical="center"/>
    </xf>
    <xf numFmtId="0" fontId="2" fillId="0" borderId="3" xfId="2" applyFont="1" applyFill="1" applyBorder="1" applyAlignment="1">
      <alignment horizontal="left" vertical="center" wrapText="1"/>
    </xf>
    <xf numFmtId="0" fontId="9" fillId="0" borderId="4" xfId="0" applyFont="1" applyFill="1" applyBorder="1" applyAlignment="1">
      <alignment horizontal="left" vertical="center" wrapText="1"/>
    </xf>
    <xf numFmtId="0" fontId="2" fillId="0" borderId="3" xfId="2" applyFont="1" applyBorder="1" applyAlignment="1">
      <alignment horizontal="left" vertical="center" wrapText="1"/>
    </xf>
    <xf numFmtId="0" fontId="9" fillId="0" borderId="4" xfId="0" applyFont="1" applyBorder="1" applyAlignment="1">
      <alignment horizontal="left" vertical="center" wrapText="1"/>
    </xf>
    <xf numFmtId="0" fontId="2" fillId="0" borderId="5" xfId="2" applyFont="1" applyFill="1" applyBorder="1" applyAlignment="1">
      <alignment horizontal="left" vertical="center" wrapText="1"/>
    </xf>
    <xf numFmtId="0" fontId="9" fillId="0" borderId="6" xfId="0" applyFont="1" applyBorder="1" applyAlignment="1">
      <alignment horizontal="left" vertical="center" wrapText="1"/>
    </xf>
    <xf numFmtId="0" fontId="9" fillId="0" borderId="0" xfId="0" applyFont="1"/>
    <xf numFmtId="0" fontId="5" fillId="0" borderId="0" xfId="3" applyFont="1" applyFill="1" applyAlignment="1">
      <alignment horizontal="left"/>
    </xf>
    <xf numFmtId="0" fontId="5" fillId="0" borderId="0" xfId="0" applyFont="1" applyAlignment="1">
      <alignment horizontal="left"/>
    </xf>
    <xf numFmtId="0" fontId="0" fillId="0" borderId="0" xfId="3" applyFont="1" applyFill="1" applyAlignment="1"/>
    <xf numFmtId="0" fontId="0" fillId="0" borderId="0" xfId="3" applyFont="1" applyFill="1" applyAlignment="1">
      <alignment horizontal="left"/>
    </xf>
    <xf numFmtId="0" fontId="10" fillId="2" borderId="0" xfId="0" applyFont="1" applyFill="1" applyAlignment="1">
      <alignment vertical="center" readingOrder="1"/>
    </xf>
    <xf numFmtId="0" fontId="10" fillId="2" borderId="0" xfId="0" applyFont="1" applyFill="1" applyAlignment="1">
      <alignment horizontal="left"/>
    </xf>
    <xf numFmtId="0" fontId="11" fillId="2" borderId="0" xfId="0" applyFont="1" applyFill="1" applyAlignment="1"/>
    <xf numFmtId="0" fontId="10" fillId="2" borderId="0" xfId="0" applyFont="1" applyFill="1" applyAlignment="1"/>
    <xf numFmtId="0" fontId="12" fillId="2" borderId="0" xfId="0" applyFont="1" applyFill="1" applyAlignment="1"/>
    <xf numFmtId="0" fontId="10" fillId="2" borderId="0" xfId="0" applyFont="1" applyFill="1" applyAlignment="1">
      <alignment horizontal="left" vertical="center" readingOrder="1"/>
    </xf>
    <xf numFmtId="0" fontId="5" fillId="0" borderId="0" xfId="0" applyFont="1" applyFill="1" applyAlignment="1">
      <alignment horizontal="left" vertical="center" readingOrder="1"/>
    </xf>
    <xf numFmtId="0" fontId="6" fillId="0" borderId="0" xfId="0" applyFont="1" applyFill="1" applyAlignment="1">
      <alignment horizontal="left" vertical="center" readingOrder="1"/>
    </xf>
    <xf numFmtId="0" fontId="0" fillId="0" borderId="0" xfId="0" applyAlignment="1"/>
    <xf numFmtId="2" fontId="5" fillId="0" borderId="0" xfId="0" applyNumberFormat="1" applyFont="1" applyFill="1" applyAlignment="1">
      <alignment horizontal="left" vertical="center" readingOrder="1"/>
    </xf>
    <xf numFmtId="165" fontId="5" fillId="0" borderId="0" xfId="6" applyNumberFormat="1" applyFont="1" applyFill="1" applyAlignment="1">
      <alignment horizontal="left" vertical="center" readingOrder="1"/>
    </xf>
    <xf numFmtId="0" fontId="13" fillId="0" borderId="0" xfId="0" applyFont="1" applyFill="1" applyAlignment="1">
      <alignment horizontal="left" vertical="center" readingOrder="1"/>
    </xf>
    <xf numFmtId="0" fontId="5" fillId="0" borderId="0" xfId="0" applyFont="1" applyFill="1" applyAlignment="1">
      <alignment vertical="center" readingOrder="1"/>
    </xf>
    <xf numFmtId="0" fontId="8" fillId="0" borderId="0" xfId="0" applyFont="1" applyFill="1" applyAlignment="1">
      <alignment horizontal="left" vertical="center"/>
    </xf>
    <xf numFmtId="0" fontId="14" fillId="0" borderId="0" xfId="0" applyFont="1" applyFill="1" applyAlignment="1">
      <alignment horizontal="left" vertical="center" wrapText="1" readingOrder="1"/>
    </xf>
    <xf numFmtId="0" fontId="14" fillId="0" borderId="0" xfId="0" applyFont="1" applyFill="1" applyAlignment="1">
      <alignment horizontal="left" vertical="center" readingOrder="1"/>
    </xf>
    <xf numFmtId="3" fontId="6" fillId="0" borderId="0" xfId="0" applyNumberFormat="1" applyFont="1" applyFill="1" applyAlignment="1">
      <alignment horizontal="left" vertical="center" wrapText="1"/>
    </xf>
    <xf numFmtId="0" fontId="6" fillId="0" borderId="0" xfId="0" applyFont="1" applyFill="1" applyAlignment="1">
      <alignment horizontal="right" vertical="center" wrapText="1"/>
    </xf>
    <xf numFmtId="3" fontId="6" fillId="0" borderId="0" xfId="0" applyNumberFormat="1" applyFont="1" applyFill="1" applyAlignment="1">
      <alignment horizontal="right" vertical="center" wrapText="1"/>
    </xf>
    <xf numFmtId="0" fontId="5" fillId="0" borderId="0" xfId="0" applyFont="1" applyFill="1" applyAlignment="1">
      <alignment horizontal="center" vertical="center"/>
    </xf>
    <xf numFmtId="0" fontId="5" fillId="0" borderId="0" xfId="0" applyFont="1" applyFill="1" applyAlignment="1"/>
    <xf numFmtId="3" fontId="5" fillId="0" borderId="0" xfId="0" applyNumberFormat="1" applyFont="1" applyFill="1" applyAlignment="1">
      <alignment horizontal="right" wrapText="1"/>
    </xf>
    <xf numFmtId="0" fontId="13" fillId="0" borderId="0" xfId="0" applyFont="1" applyFill="1" applyAlignment="1"/>
    <xf numFmtId="0" fontId="15" fillId="0" borderId="0" xfId="0" applyFont="1" applyFill="1" applyAlignment="1"/>
    <xf numFmtId="0" fontId="5" fillId="0" borderId="0" xfId="0" applyFont="1" applyFill="1" applyAlignment="1">
      <alignment horizontal="right" wrapText="1"/>
    </xf>
    <xf numFmtId="3" fontId="5" fillId="0" borderId="7" xfId="0" applyNumberFormat="1" applyFont="1" applyFill="1" applyBorder="1" applyAlignment="1">
      <alignment horizontal="right" wrapText="1"/>
    </xf>
    <xf numFmtId="0" fontId="8" fillId="0" borderId="8" xfId="0" applyFont="1" applyFill="1" applyBorder="1" applyAlignment="1">
      <alignment horizontal="left"/>
    </xf>
    <xf numFmtId="0" fontId="0" fillId="0" borderId="8" xfId="0" applyFill="1" applyBorder="1" applyAlignment="1">
      <alignment wrapText="1"/>
    </xf>
    <xf numFmtId="0" fontId="0" fillId="0" borderId="8" xfId="0" applyFill="1" applyBorder="1" applyAlignment="1"/>
    <xf numFmtId="0" fontId="0" fillId="0" borderId="0" xfId="0" applyFill="1" applyAlignment="1"/>
    <xf numFmtId="0" fontId="0" fillId="0" borderId="0" xfId="0" applyFill="1" applyAlignment="1">
      <alignment horizontal="center" vertical="center"/>
    </xf>
    <xf numFmtId="0" fontId="10" fillId="2" borderId="0" xfId="0" applyFont="1" applyFill="1"/>
    <xf numFmtId="0" fontId="16" fillId="2" borderId="0" xfId="0" applyFont="1" applyFill="1"/>
    <xf numFmtId="0" fontId="16" fillId="2" borderId="0" xfId="0" applyFont="1" applyFill="1" applyAlignment="1">
      <alignment horizontal="left"/>
    </xf>
    <xf numFmtId="0" fontId="5" fillId="0" borderId="0" xfId="0" applyFont="1" applyFill="1" applyAlignment="1">
      <alignment horizontal="left" vertical="center"/>
    </xf>
    <xf numFmtId="0" fontId="14" fillId="0" borderId="0" xfId="0" applyFont="1" applyFill="1"/>
    <xf numFmtId="0" fontId="14" fillId="0" borderId="0" xfId="0" applyFont="1" applyFill="1" applyAlignment="1">
      <alignment horizontal="left"/>
    </xf>
    <xf numFmtId="0" fontId="14" fillId="0" borderId="0" xfId="0" applyFont="1" applyFill="1" applyAlignment="1">
      <alignment vertical="center"/>
    </xf>
    <xf numFmtId="0" fontId="14" fillId="0" borderId="0" xfId="0" applyFont="1" applyFill="1" applyAlignment="1">
      <alignment horizontal="left" vertical="center"/>
    </xf>
    <xf numFmtId="0" fontId="14" fillId="0" borderId="0" xfId="0" applyFont="1" applyFill="1" applyAlignment="1"/>
    <xf numFmtId="2" fontId="5" fillId="0" borderId="0" xfId="0" applyNumberFormat="1" applyFont="1" applyFill="1" applyAlignment="1">
      <alignment horizontal="left" vertical="center"/>
    </xf>
    <xf numFmtId="0" fontId="0" fillId="0" borderId="0" xfId="0" applyFill="1" applyAlignment="1">
      <alignment horizontal="center" vertical="center" wrapText="1"/>
    </xf>
    <xf numFmtId="0" fontId="6" fillId="0" borderId="0" xfId="0" applyFont="1" applyFill="1" applyAlignment="1">
      <alignment horizontal="left" wrapText="1"/>
    </xf>
    <xf numFmtId="0" fontId="5" fillId="0" borderId="0" xfId="0" applyFont="1" applyFill="1" applyAlignment="1">
      <alignment horizontal="right"/>
    </xf>
    <xf numFmtId="0" fontId="17" fillId="0" borderId="0" xfId="0" applyFont="1" applyFill="1"/>
    <xf numFmtId="0" fontId="0" fillId="0" borderId="0" xfId="0" applyFill="1"/>
    <xf numFmtId="3" fontId="5" fillId="0" borderId="0" xfId="1" applyNumberFormat="1" applyFont="1" applyFill="1" applyAlignment="1">
      <alignment horizontal="right"/>
    </xf>
    <xf numFmtId="3" fontId="5" fillId="0" borderId="0" xfId="0" applyNumberFormat="1" applyFont="1" applyFill="1" applyAlignment="1">
      <alignment horizontal="right"/>
    </xf>
    <xf numFmtId="10" fontId="5" fillId="0" borderId="0" xfId="0" applyNumberFormat="1" applyFont="1" applyFill="1" applyAlignment="1">
      <alignment horizontal="right"/>
    </xf>
    <xf numFmtId="3" fontId="6" fillId="0" borderId="0" xfId="1" applyNumberFormat="1" applyFont="1" applyFill="1" applyAlignment="1">
      <alignment horizontal="right"/>
    </xf>
    <xf numFmtId="0" fontId="5" fillId="0" borderId="0" xfId="0" applyFont="1" applyFill="1" applyAlignment="1">
      <alignment vertical="center"/>
    </xf>
    <xf numFmtId="0" fontId="17" fillId="0" borderId="0" xfId="0" applyFont="1" applyFill="1" applyAlignment="1">
      <alignment vertical="center"/>
    </xf>
    <xf numFmtId="0" fontId="17" fillId="0" borderId="0" xfId="0" applyFont="1" applyFill="1" applyAlignment="1">
      <alignment horizontal="left" vertical="center"/>
    </xf>
    <xf numFmtId="0" fontId="17" fillId="0" borderId="0" xfId="0" applyFont="1"/>
    <xf numFmtId="0" fontId="3" fillId="2" borderId="0" xfId="0" applyFont="1" applyFill="1" applyAlignment="1">
      <alignment horizontal="left" vertical="center"/>
    </xf>
    <xf numFmtId="0" fontId="18" fillId="2" borderId="0" xfId="0" applyFont="1" applyFill="1"/>
    <xf numFmtId="0" fontId="0" fillId="0" borderId="0" xfId="0" applyAlignment="1">
      <alignment horizontal="left"/>
    </xf>
    <xf numFmtId="0" fontId="14" fillId="0" borderId="0" xfId="0" applyFont="1" applyAlignment="1">
      <alignment horizontal="left"/>
    </xf>
    <xf numFmtId="0" fontId="6" fillId="0" borderId="0" xfId="0" applyFont="1" applyAlignment="1">
      <alignment horizontal="left" wrapText="1"/>
    </xf>
    <xf numFmtId="0" fontId="6" fillId="0" borderId="0" xfId="0" applyFont="1" applyAlignment="1">
      <alignment horizontal="right" vertical="center" wrapText="1"/>
    </xf>
    <xf numFmtId="166" fontId="6" fillId="0" borderId="0" xfId="0" applyNumberFormat="1" applyFont="1" applyAlignment="1">
      <alignment horizontal="right" vertical="center" wrapText="1"/>
    </xf>
    <xf numFmtId="0" fontId="5" fillId="0" borderId="0" xfId="0" applyFont="1"/>
    <xf numFmtId="0" fontId="6" fillId="0" borderId="0" xfId="0" applyFont="1" applyAlignment="1">
      <alignment horizontal="left"/>
    </xf>
    <xf numFmtId="164" fontId="5" fillId="0" borderId="0" xfId="0" applyNumberFormat="1" applyFont="1" applyAlignment="1">
      <alignment horizontal="right"/>
    </xf>
    <xf numFmtId="0" fontId="6" fillId="0" borderId="3" xfId="0" applyFont="1" applyBorder="1" applyAlignment="1">
      <alignment horizontal="left" wrapText="1"/>
    </xf>
    <xf numFmtId="0" fontId="6" fillId="0" borderId="3" xfId="0" applyFont="1" applyBorder="1" applyAlignment="1">
      <alignment horizontal="left"/>
    </xf>
    <xf numFmtId="0" fontId="5" fillId="0" borderId="0" xfId="0" applyFont="1" applyFill="1" applyAlignment="1">
      <alignment horizontal="left"/>
    </xf>
    <xf numFmtId="0" fontId="3" fillId="2" borderId="0" xfId="0" applyFont="1" applyFill="1" applyAlignment="1"/>
    <xf numFmtId="0" fontId="5" fillId="0" borderId="0" xfId="0" applyFont="1" applyAlignment="1">
      <alignment horizontal="left" vertical="center"/>
    </xf>
    <xf numFmtId="0" fontId="8" fillId="0" borderId="0" xfId="0" applyFont="1" applyAlignment="1">
      <alignment horizontal="left" vertical="center"/>
    </xf>
    <xf numFmtId="0" fontId="0" fillId="0" borderId="0" xfId="0" applyAlignment="1">
      <alignment horizontal="left" vertical="center"/>
    </xf>
    <xf numFmtId="0" fontId="6" fillId="0" borderId="0" xfId="0" applyFont="1" applyAlignment="1">
      <alignment horizontal="left" vertical="center" wrapText="1"/>
    </xf>
    <xf numFmtId="0" fontId="19" fillId="0" borderId="0" xfId="0" applyFont="1" applyAlignment="1">
      <alignment wrapText="1"/>
    </xf>
    <xf numFmtId="0" fontId="14" fillId="0" borderId="0" xfId="0" applyFont="1"/>
    <xf numFmtId="0" fontId="8" fillId="0" borderId="0" xfId="0" applyFont="1"/>
    <xf numFmtId="0" fontId="5" fillId="0" borderId="0" xfId="0" applyFont="1" applyAlignment="1">
      <alignment vertical="center"/>
    </xf>
    <xf numFmtId="0" fontId="6" fillId="0" borderId="0" xfId="0" applyFont="1" applyAlignment="1">
      <alignment horizontal="left" vertical="center"/>
    </xf>
    <xf numFmtId="0" fontId="19" fillId="0" borderId="0" xfId="0" applyFont="1" applyAlignment="1">
      <alignment horizontal="center" vertical="center"/>
    </xf>
    <xf numFmtId="164" fontId="6" fillId="0" borderId="0" xfId="0" applyNumberFormat="1" applyFont="1" applyAlignment="1">
      <alignment horizontal="left"/>
    </xf>
    <xf numFmtId="3" fontId="5" fillId="0" borderId="0" xfId="0" applyNumberFormat="1" applyFont="1" applyAlignment="1">
      <alignment horizontal="right" vertical="center" wrapText="1"/>
    </xf>
    <xf numFmtId="3" fontId="5" fillId="0" borderId="0" xfId="0" applyNumberFormat="1" applyFont="1" applyAlignment="1">
      <alignment horizontal="right"/>
    </xf>
    <xf numFmtId="164" fontId="5" fillId="0" borderId="0" xfId="0" applyNumberFormat="1" applyFont="1" applyAlignment="1">
      <alignment horizontal="right" wrapText="1"/>
    </xf>
    <xf numFmtId="0" fontId="5" fillId="0" borderId="0" xfId="0" applyFont="1" applyAlignment="1">
      <alignment wrapText="1"/>
    </xf>
    <xf numFmtId="0" fontId="20" fillId="2" borderId="0" xfId="0" applyFont="1" applyFill="1"/>
    <xf numFmtId="0" fontId="5" fillId="0" borderId="0" xfId="0" applyFont="1" applyAlignment="1"/>
    <xf numFmtId="3" fontId="6" fillId="0" borderId="0" xfId="0" applyNumberFormat="1" applyFont="1" applyAlignment="1">
      <alignment horizontal="right" vertical="center" wrapText="1"/>
    </xf>
    <xf numFmtId="0" fontId="21" fillId="0" borderId="0" xfId="0" applyFont="1"/>
    <xf numFmtId="0" fontId="6" fillId="0" borderId="0" xfId="0" applyFont="1"/>
    <xf numFmtId="164" fontId="5" fillId="0" borderId="0" xfId="0" applyNumberFormat="1" applyFont="1"/>
    <xf numFmtId="0" fontId="3" fillId="2" borderId="0" xfId="0" applyFont="1" applyFill="1" applyAlignment="1">
      <alignment horizontal="left"/>
    </xf>
    <xf numFmtId="0" fontId="0" fillId="2" borderId="0" xfId="0" applyFill="1"/>
    <xf numFmtId="0" fontId="6" fillId="0" borderId="0" xfId="0" applyFont="1" applyAlignment="1">
      <alignment vertical="center" wrapText="1"/>
    </xf>
    <xf numFmtId="0" fontId="6" fillId="0" borderId="0" xfId="0" applyFont="1" applyAlignment="1">
      <alignment horizontal="center" vertical="center"/>
    </xf>
    <xf numFmtId="0" fontId="6" fillId="0" borderId="0" xfId="0" applyFont="1" applyAlignment="1">
      <alignment wrapText="1"/>
    </xf>
    <xf numFmtId="0" fontId="5" fillId="0" borderId="0" xfId="0" applyFont="1" applyAlignment="1">
      <alignment horizontal="right" vertical="center" wrapText="1"/>
    </xf>
    <xf numFmtId="0" fontId="5" fillId="0" borderId="0" xfId="0" applyFont="1" applyAlignment="1">
      <alignment horizontal="center" vertical="center"/>
    </xf>
    <xf numFmtId="164" fontId="6" fillId="0" borderId="0" xfId="0" applyNumberFormat="1" applyFont="1" applyAlignment="1"/>
    <xf numFmtId="9" fontId="5" fillId="0" borderId="0" xfId="6" applyFont="1" applyAlignment="1">
      <alignment horizontal="right"/>
    </xf>
  </cellXfs>
  <cellStyles count="7">
    <cellStyle name="Comma" xfId="1" builtinId="3" customBuiltin="1"/>
    <cellStyle name="Hyperlink" xfId="2" xr:uid="{00000000-0005-0000-0000-000001000000}"/>
    <cellStyle name="Normal" xfId="0" builtinId="0" customBuiltin="1"/>
    <cellStyle name="Normal 2" xfId="3" xr:uid="{00000000-0005-0000-0000-000003000000}"/>
    <cellStyle name="Normal 3" xfId="4" xr:uid="{00000000-0005-0000-0000-000004000000}"/>
    <cellStyle name="Normal_Circ_AnnualStampTaxes13_Finalv" xfId="5" xr:uid="{00000000-0005-0000-0000-000005000000}"/>
    <cellStyle name="Percent"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worksheet" Target="worksheets/sheet8.xml"/><Relationship Id="rId13" Type="http://purl.oclc.org/ooxml/officeDocument/relationships/sharedStrings" Target="sharedStrings.xml"/><Relationship Id="rId3" Type="http://purl.oclc.org/ooxml/officeDocument/relationships/worksheet" Target="worksheets/sheet3.xml"/><Relationship Id="rId7" Type="http://purl.oclc.org/ooxml/officeDocument/relationships/worksheet" Target="worksheets/sheet7.xml"/><Relationship Id="rId12" Type="http://purl.oclc.org/ooxml/officeDocument/relationships/styles" Target="style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worksheet" Target="worksheets/sheet6.xml"/><Relationship Id="rId11" Type="http://purl.oclc.org/ooxml/officeDocument/relationships/theme" Target="theme/theme1.xml"/><Relationship Id="rId5" Type="http://purl.oclc.org/ooxml/officeDocument/relationships/worksheet" Target="worksheets/sheet5.xml"/><Relationship Id="rId10" Type="http://purl.oclc.org/ooxml/officeDocument/relationships/worksheet" Target="worksheets/sheet10.xml"/><Relationship Id="rId4" Type="http://purl.oclc.org/ooxml/officeDocument/relationships/worksheet" Target="worksheets/sheet4.xml"/><Relationship Id="rId9" Type="http://purl.oclc.org/ooxml/officeDocument/relationships/worksheet" Target="worksheets/sheet9.xml"/><Relationship Id="rId14" Type="http://purl.oclc.org/ooxml/officeDocument/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lotArea>
      <c:layout/>
      <c:barChart>
        <c:barDir val="col"/>
        <c:grouping val="percentStacked"/>
        <c:varyColors val="0"/>
        <c:ser>
          <c:idx val="0"/>
          <c:order val="0"/>
          <c:spPr>
            <a:solidFill>
              <a:schemeClr val="accent1"/>
            </a:solidFill>
            <a:ln>
              <a:noFill/>
            </a:ln>
            <a:effectLst/>
          </c:spPr>
          <c:invertIfNegative val="0"/>
          <c:cat>
            <c:strRef>
              <c:f>'9_8_ISA_subs_by_age_sex'!$A$21:$A$26</c:f>
              <c:strCache>
                <c:ptCount val="6"/>
                <c:pt idx="0">
                  <c:v>Under 25</c:v>
                </c:pt>
                <c:pt idx="1">
                  <c:v>25-34</c:v>
                </c:pt>
                <c:pt idx="2">
                  <c:v>35-44</c:v>
                </c:pt>
                <c:pt idx="3">
                  <c:v>45-54</c:v>
                </c:pt>
                <c:pt idx="4">
                  <c:v>55-64</c:v>
                </c:pt>
                <c:pt idx="5">
                  <c:v>65 and over</c:v>
                </c:pt>
              </c:strCache>
            </c:strRef>
          </c:cat>
          <c:val>
            <c:numRef>
              <c:f>'9_8_ISA_subs_by_age_sex'!$I$21:$I$26</c:f>
              <c:numCache>
                <c:formatCode>General</c:formatCode>
                <c:ptCount val="6"/>
                <c:pt idx="0">
                  <c:v>62.029638392332622</c:v>
                </c:pt>
                <c:pt idx="1">
                  <c:v>60.320291758392308</c:v>
                </c:pt>
                <c:pt idx="2">
                  <c:v>63.791286307768125</c:v>
                </c:pt>
                <c:pt idx="3">
                  <c:v>62.477881362727828</c:v>
                </c:pt>
                <c:pt idx="4">
                  <c:v>64.21889174674547</c:v>
                </c:pt>
                <c:pt idx="5">
                  <c:v>74.103057517237076</c:v>
                </c:pt>
              </c:numCache>
            </c:numRef>
          </c:val>
          <c:extLst>
            <c:ext xmlns:c16="http://schemas.microsoft.com/office/drawing/2014/chart" uri="{C3380CC4-5D6E-409C-BE32-E72D297353CC}">
              <c16:uniqueId val="{00000000-15B1-C442-991F-9EE3CD82A7E6}"/>
            </c:ext>
          </c:extLst>
        </c:ser>
        <c:ser>
          <c:idx val="1"/>
          <c:order val="1"/>
          <c:spPr>
            <a:solidFill>
              <a:schemeClr val="accent2"/>
            </a:solidFill>
            <a:ln>
              <a:noFill/>
            </a:ln>
            <a:effectLst/>
          </c:spPr>
          <c:invertIfNegative val="0"/>
          <c:cat>
            <c:strRef>
              <c:f>'9_8_ISA_subs_by_age_sex'!$A$21:$A$26</c:f>
              <c:strCache>
                <c:ptCount val="6"/>
                <c:pt idx="0">
                  <c:v>Under 25</c:v>
                </c:pt>
                <c:pt idx="1">
                  <c:v>25-34</c:v>
                </c:pt>
                <c:pt idx="2">
                  <c:v>35-44</c:v>
                </c:pt>
                <c:pt idx="3">
                  <c:v>45-54</c:v>
                </c:pt>
                <c:pt idx="4">
                  <c:v>55-64</c:v>
                </c:pt>
                <c:pt idx="5">
                  <c:v>65 and over</c:v>
                </c:pt>
              </c:strCache>
            </c:strRef>
          </c:cat>
          <c:val>
            <c:numRef>
              <c:f>'9_8_ISA_subs_by_age_sex'!$J$21:$J$26</c:f>
              <c:numCache>
                <c:formatCode>General</c:formatCode>
                <c:ptCount val="6"/>
                <c:pt idx="0">
                  <c:v>29.483140741692885</c:v>
                </c:pt>
                <c:pt idx="1">
                  <c:v>30.288687748604037</c:v>
                </c:pt>
                <c:pt idx="2">
                  <c:v>28.531521571376857</c:v>
                </c:pt>
                <c:pt idx="3">
                  <c:v>31.017234568927883</c:v>
                </c:pt>
                <c:pt idx="4">
                  <c:v>29.55099820847683</c:v>
                </c:pt>
                <c:pt idx="5">
                  <c:v>22.138252918033665</c:v>
                </c:pt>
              </c:numCache>
            </c:numRef>
          </c:val>
          <c:extLst>
            <c:ext xmlns:c16="http://schemas.microsoft.com/office/drawing/2014/chart" uri="{C3380CC4-5D6E-409C-BE32-E72D297353CC}">
              <c16:uniqueId val="{00000001-15B1-C442-991F-9EE3CD82A7E6}"/>
            </c:ext>
          </c:extLst>
        </c:ser>
        <c:dLbls>
          <c:showLegendKey val="0"/>
          <c:showVal val="0"/>
          <c:showCatName val="0"/>
          <c:showSerName val="0"/>
          <c:showPercent val="0"/>
          <c:showBubbleSize val="0"/>
        </c:dLbls>
        <c:gapWidth val="150"/>
        <c:overlap val="100"/>
        <c:axId val="191224368"/>
        <c:axId val="114174240"/>
      </c:barChart>
      <c:catAx>
        <c:axId val="191224368"/>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14174240"/>
        <c:crosses val="autoZero"/>
        <c:auto val="1"/>
        <c:lblAlgn val="ctr"/>
        <c:lblOffset val="100"/>
        <c:noMultiLvlLbl val="0"/>
      </c:catAx>
      <c:valAx>
        <c:axId val="114174240"/>
        <c:scaling>
          <c:orientation val="minMax"/>
        </c:scaling>
        <c:delete val="0"/>
        <c:axPos val="l"/>
        <c:majorGridlines>
          <c:spPr>
            <a:ln w="9525" cap="flat" cmpd="sng" algn="ctr">
              <a:solidFill>
                <a:schemeClr val="tx1">
                  <a:lumMod val="15%"/>
                  <a:lumOff val="85%"/>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91224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29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purl.oclc.org/ooxml/officeDocument/relationships/chart" Target="../charts/chart1.xml"/></Relationships>
</file>

<file path=xl/drawings/drawing1.xml><?xml version="1.0" encoding="utf-8"?>
<xdr:wsDr xmlns:xdr="http://purl.oclc.org/ooxml/drawingml/spreadsheetDrawing" xmlns:a="http://purl.oclc.org/ooxml/drawingml/main">
  <xdr:twoCellAnchor>
    <xdr:from>
      <xdr:col>10</xdr:col>
      <xdr:colOff>273049</xdr:colOff>
      <xdr:row>9</xdr:row>
      <xdr:rowOff>146050</xdr:rowOff>
    </xdr:from>
    <xdr:to>
      <xdr:col>14</xdr:col>
      <xdr:colOff>84666</xdr:colOff>
      <xdr:row>28</xdr:row>
      <xdr:rowOff>88900</xdr:rowOff>
    </xdr:to>
    <xdr:graphicFrame macro="">
      <xdr:nvGraphicFramePr>
        <xdr:cNvPr id="2" name="Chart 1">
          <a:extLst>
            <a:ext uri="{FF2B5EF4-FFF2-40B4-BE49-F238E27FC236}">
              <a16:creationId xmlns:a16="http://schemas.microsoft.com/office/drawing/2014/main" id="{834662A0-B60E-064F-9AD8-092BE91C9490}"/>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 xr:uid="{00000000-000C-0000-FFFF-FFFF00000000}" name="T9.4_accounts_subscribed" displayName="T9.4_accounts_subscribed" ref="A9:Q15" totalsRowShown="0">
  <tableColumns count="17">
    <tableColumn id="1" xr3:uid="{00000000-0010-0000-0000-000001000000}" name="Number of accounts subscribed in current year (thousands)"/>
    <tableColumn id="2" xr3:uid="{00000000-0010-0000-0000-000002000000}" name="2008 to 2009"/>
    <tableColumn id="3" xr3:uid="{00000000-0010-0000-0000-000003000000}" name="2009 to 2010"/>
    <tableColumn id="4" xr3:uid="{00000000-0010-0000-0000-000004000000}" name="2010 to 2011"/>
    <tableColumn id="5" xr3:uid="{00000000-0010-0000-0000-000005000000}" name="2011 to 2012"/>
    <tableColumn id="6" xr3:uid="{00000000-0010-0000-0000-000006000000}" name="2012 to 2013"/>
    <tableColumn id="7" xr3:uid="{00000000-0010-0000-0000-000007000000}" name="2013 to 2014"/>
    <tableColumn id="8" xr3:uid="{00000000-0010-0000-0000-000008000000}" name="2014 to 2015"/>
    <tableColumn id="9" xr3:uid="{00000000-0010-0000-0000-000009000000}" name="2015 to 2016"/>
    <tableColumn id="10" xr3:uid="{00000000-0010-0000-0000-00000A000000}" name="2016 to 2017"/>
    <tableColumn id="11" xr3:uid="{00000000-0010-0000-0000-00000B000000}" name="2017 to 2018"/>
    <tableColumn id="12" xr3:uid="{00000000-0010-0000-0000-00000C000000}" name="2018 to 2019 "/>
    <tableColumn id="13" xr3:uid="{00000000-0010-0000-0000-00000D000000}" name="2019 to 2020"/>
    <tableColumn id="14" xr3:uid="{00000000-0010-0000-0000-00000E000000}" name="2020 to 2021"/>
    <tableColumn id="15" xr3:uid="{00000000-0010-0000-0000-00000F000000}" name="2021 to 2022"/>
    <tableColumn id="16" xr3:uid="{00000000-0010-0000-0000-000010000000}" name="2022 to 2023"/>
    <tableColumn id="17" xr3:uid="{00000000-0010-0000-0000-000011000000}" name="2023 to 2024 [provisional]"/>
  </tableColumns>
  <tableStyleInfo showFirstColumn="0" showLastColumn="0" showRowStripes="1" showColumnStripes="0"/>
</table>
</file>

<file path=xl/tables/table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 xr:uid="{00000000-000C-0000-FFFF-FFFF01000000}" name="T9.4_JISA_accounts_subscribed" displayName="T9.4_JISA_accounts_subscribed" ref="A31:N35" totalsRowShown="0">
  <tableColumns count="14">
    <tableColumn id="1" xr3:uid="{00000000-0010-0000-0100-000001000000}" name="Number of accounts subscribed in current year (thousands)"/>
    <tableColumn id="2" xr3:uid="{00000000-0010-0000-0100-000002000000}" name="2008 to 2009"/>
    <tableColumn id="3" xr3:uid="{00000000-0010-0000-0100-000003000000}" name="2009 to 2010"/>
    <tableColumn id="4" xr3:uid="{00000000-0010-0000-0100-000004000000}" name="2010 to 2011"/>
    <tableColumn id="5" xr3:uid="{00000000-0010-0000-0100-000005000000}" name="2011 to 2012"/>
    <tableColumn id="6" xr3:uid="{00000000-0010-0000-0100-000006000000}" name="2012 to 2013"/>
    <tableColumn id="7" xr3:uid="{00000000-0010-0000-0100-000007000000}" name="2013 to 2014"/>
    <tableColumn id="8" xr3:uid="{00000000-0010-0000-0100-000008000000}" name="2014 to 2015"/>
    <tableColumn id="9" xr3:uid="{00000000-0010-0000-0100-000009000000}" name="2015 to 2016"/>
    <tableColumn id="10" xr3:uid="{00000000-0010-0000-0100-00000A000000}" name="2016 to 2017"/>
    <tableColumn id="11" xr3:uid="{00000000-0010-0000-0100-00000B000000}" name="2017 to 2018"/>
    <tableColumn id="12" xr3:uid="{00000000-0010-0000-0100-00000C000000}" name="2018 to 2019"/>
    <tableColumn id="13" xr3:uid="{00000000-0010-0000-0100-00000D000000}" name="2019 to 2020"/>
    <tableColumn id="14" xr3:uid="{00000000-0010-0000-0100-00000E000000}" name="2020 to 2021"/>
  </tableColumns>
  <tableStyleInfo showFirstColumn="0" showLastColumn="0" showRowStripes="1" showColumnStripes="0"/>
</table>
</file>

<file path=xl/tables/table3.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3" xr:uid="{00000000-000C-0000-FFFF-FFFF02000000}" name="T9.4_amounts_subscribed" displayName="T9.4_amounts_subscribed" ref="A16:Q22" totalsRowShown="0">
  <tableColumns count="17">
    <tableColumn id="1" xr3:uid="{00000000-0010-0000-0200-000001000000}" name="Amounts subscribed (£ million)"/>
    <tableColumn id="2" xr3:uid="{00000000-0010-0000-0200-000002000000}" name="2008 to 2009"/>
    <tableColumn id="3" xr3:uid="{00000000-0010-0000-0200-000003000000}" name="2009 to 2010"/>
    <tableColumn id="4" xr3:uid="{00000000-0010-0000-0200-000004000000}" name="2010 to 2011"/>
    <tableColumn id="5" xr3:uid="{00000000-0010-0000-0200-000005000000}" name="2011 to 2012"/>
    <tableColumn id="6" xr3:uid="{00000000-0010-0000-0200-000006000000}" name="2012 to 2013"/>
    <tableColumn id="7" xr3:uid="{00000000-0010-0000-0200-000007000000}" name="2013 to 2014"/>
    <tableColumn id="8" xr3:uid="{00000000-0010-0000-0200-000008000000}" name="2014 to 2015"/>
    <tableColumn id="9" xr3:uid="{00000000-0010-0000-0200-000009000000}" name="2015 to 2016"/>
    <tableColumn id="10" xr3:uid="{00000000-0010-0000-0200-00000A000000}" name="2016 to 2017"/>
    <tableColumn id="11" xr3:uid="{00000000-0010-0000-0200-00000B000000}" name="2017 to 2018"/>
    <tableColumn id="12" xr3:uid="{00000000-0010-0000-0200-00000C000000}" name="2018 to 2019 "/>
    <tableColumn id="13" xr3:uid="{00000000-0010-0000-0200-00000D000000}" name="2019 to 2020"/>
    <tableColumn id="14" xr3:uid="{00000000-0010-0000-0200-00000E000000}" name="2020 to 2021"/>
    <tableColumn id="15" xr3:uid="{00000000-0010-0000-0200-00000F000000}" name="2021 to 2022"/>
    <tableColumn id="16" xr3:uid="{00000000-0010-0000-0200-000010000000}" name="2022 to 2023"/>
    <tableColumn id="17" xr3:uid="{00000000-0010-0000-0200-000011000000}" name="2023 to 2024 [provisional]"/>
  </tableColumns>
  <tableStyleInfo showFirstColumn="0" showLastColumn="0" showRowStripes="1" showColumnStripes="0"/>
</table>
</file>

<file path=xl/tables/table4.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4" xr:uid="{00000000-000C-0000-FFFF-FFFF03000000}" name="T9.4_avg_subcription" displayName="T9.4_avg_subcription" ref="A23:Q29" totalsRowShown="0">
  <tableColumns count="17">
    <tableColumn id="1" xr3:uid="{00000000-0010-0000-0300-000001000000}" name="Average subscription per account (£)"/>
    <tableColumn id="2" xr3:uid="{00000000-0010-0000-0300-000002000000}" name="2008 to 2009"/>
    <tableColumn id="3" xr3:uid="{00000000-0010-0000-0300-000003000000}" name="2009 to 2010"/>
    <tableColumn id="4" xr3:uid="{00000000-0010-0000-0300-000004000000}" name="2010 to 2011"/>
    <tableColumn id="5" xr3:uid="{00000000-0010-0000-0300-000005000000}" name="2011 to 2012"/>
    <tableColumn id="6" xr3:uid="{00000000-0010-0000-0300-000006000000}" name="2012 to 2013"/>
    <tableColumn id="7" xr3:uid="{00000000-0010-0000-0300-000007000000}" name="2013 to 2014"/>
    <tableColumn id="8" xr3:uid="{00000000-0010-0000-0300-000008000000}" name="2014 to 2015"/>
    <tableColumn id="9" xr3:uid="{00000000-0010-0000-0300-000009000000}" name="2015 to 2016"/>
    <tableColumn id="10" xr3:uid="{00000000-0010-0000-0300-00000A000000}" name="2016 to 2017"/>
    <tableColumn id="11" xr3:uid="{00000000-0010-0000-0300-00000B000000}" name="2017 to 2018"/>
    <tableColumn id="12" xr3:uid="{00000000-0010-0000-0300-00000C000000}" name="2018 to 2019 "/>
    <tableColumn id="13" xr3:uid="{00000000-0010-0000-0300-00000D000000}" name="2019 to 2020"/>
    <tableColumn id="14" xr3:uid="{00000000-0010-0000-0300-00000E000000}" name="2020 to 2021"/>
    <tableColumn id="15" xr3:uid="{00000000-0010-0000-0300-00000F000000}" name="2021 to 2022"/>
    <tableColumn id="16" xr3:uid="{00000000-0010-0000-0300-000010000000}" name="2022 to 2023"/>
    <tableColumn id="17" xr3:uid="{00000000-0010-0000-0300-000011000000}" name="2023 to 2024 [provisional]"/>
  </tableColumns>
  <tableStyleInfo showFirstColumn="0" showLastColumn="0" showRowStripes="1" showColumnStripes="0"/>
</table>
</file>

<file path=xl/tables/table5.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5" xr:uid="{00000000-000C-0000-FFFF-FFFF04000000}" name="T9.4_JISA_amounts_subscribed" displayName="T9.4_JISA_amounts_subscribed" ref="A36:N40" totalsRowShown="0">
  <tableColumns count="14">
    <tableColumn id="1" xr3:uid="{00000000-0010-0000-0400-000001000000}" name="Amounts subscribed (£ million)"/>
    <tableColumn id="2" xr3:uid="{00000000-0010-0000-0400-000002000000}" name="2008 to 2009"/>
    <tableColumn id="3" xr3:uid="{00000000-0010-0000-0400-000003000000}" name="2009 to 2010"/>
    <tableColumn id="4" xr3:uid="{00000000-0010-0000-0400-000004000000}" name="2010 to 2011"/>
    <tableColumn id="5" xr3:uid="{00000000-0010-0000-0400-000005000000}" name="2011 to 2012"/>
    <tableColumn id="6" xr3:uid="{00000000-0010-0000-0400-000006000000}" name="2012 to 2013"/>
    <tableColumn id="7" xr3:uid="{00000000-0010-0000-0400-000007000000}" name="2013 to 2014"/>
    <tableColumn id="8" xr3:uid="{00000000-0010-0000-0400-000008000000}" name="2014 to 2015"/>
    <tableColumn id="9" xr3:uid="{00000000-0010-0000-0400-000009000000}" name="2015 to 2016"/>
    <tableColumn id="10" xr3:uid="{00000000-0010-0000-0400-00000A000000}" name="2016 to 2017"/>
    <tableColumn id="11" xr3:uid="{00000000-0010-0000-0400-00000B000000}" name="2017 to 2018"/>
    <tableColumn id="12" xr3:uid="{00000000-0010-0000-0400-00000C000000}" name="2018 to 2019"/>
    <tableColumn id="13" xr3:uid="{00000000-0010-0000-0400-00000D000000}" name="2019 to 2020"/>
    <tableColumn id="14" xr3:uid="{00000000-0010-0000-0400-00000E000000}" name="2020 to 2021"/>
  </tableColumns>
  <tableStyleInfo showFirstColumn="0" showLastColumn="0" showRowStripes="1" showColumnStripes="0"/>
</table>
</file>

<file path=xl/tables/table6.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6" xr:uid="{00000000-000C-0000-FFFF-FFFF05000000}" name="T9.4_JISA_avg_subscription" displayName="T9.4_JISA_avg_subscription" ref="A41:N45" totalsRowShown="0">
  <tableColumns count="14">
    <tableColumn id="1" xr3:uid="{00000000-0010-0000-0500-000001000000}" name="Average subscription _x000a_per account (£)"/>
    <tableColumn id="2" xr3:uid="{00000000-0010-0000-0500-000002000000}" name="2008 to 2009"/>
    <tableColumn id="3" xr3:uid="{00000000-0010-0000-0500-000003000000}" name="2009 to 2010"/>
    <tableColumn id="4" xr3:uid="{00000000-0010-0000-0500-000004000000}" name="2010 to 2011"/>
    <tableColumn id="5" xr3:uid="{00000000-0010-0000-0500-000005000000}" name="2011 to 2012"/>
    <tableColumn id="6" xr3:uid="{00000000-0010-0000-0500-000006000000}" name="2012 to 2013"/>
    <tableColumn id="7" xr3:uid="{00000000-0010-0000-0500-000007000000}" name="2013 to 2014"/>
    <tableColumn id="8" xr3:uid="{00000000-0010-0000-0500-000008000000}" name="2014 to 2015"/>
    <tableColumn id="9" xr3:uid="{00000000-0010-0000-0500-000009000000}" name="2015 to 2016"/>
    <tableColumn id="10" xr3:uid="{00000000-0010-0000-0500-00000A000000}" name="2016 to 2017"/>
    <tableColumn id="11" xr3:uid="{00000000-0010-0000-0500-00000B000000}" name="2017 to 2018"/>
    <tableColumn id="12" xr3:uid="{00000000-0010-0000-0500-00000C000000}" name="2018 to 2019"/>
    <tableColumn id="13" xr3:uid="{00000000-0010-0000-0500-00000D000000}" name="2019 to 2020"/>
    <tableColumn id="14" xr3:uid="{00000000-0010-0000-0500-00000E000000}" name="2020 to 2021"/>
  </tableColumns>
  <tableStyleInfo showFirstColumn="0" showLastColumn="0" showRowStripes="1" showColumnStripes="0"/>
</table>
</file>

<file path=xl/tables/table7.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7" xr:uid="{00000000-000C-0000-FFFF-FFFF06000000}" name="Table_9.6" displayName="Table_9.6" ref="A10:N36" totalsRowShown="0">
  <tableColumns count="14">
    <tableColumn id="1" xr3:uid="{00000000-0010-0000-0600-000001000000}" name="Tax Year "/>
    <tableColumn id="2" xr3:uid="{00000000-0010-0000-0600-000002000000}" name="2011 to 2012 (£ million)"/>
    <tableColumn id="3" xr3:uid="{00000000-0010-0000-0600-000003000000}" name="2012 to 2013 (£ million)"/>
    <tableColumn id="4" xr3:uid="{00000000-0010-0000-0600-000004000000}" name="2013 to 2014 (£ million)"/>
    <tableColumn id="5" xr3:uid="{00000000-0010-0000-0600-000005000000}" name="2014 to 2015 (£ million)"/>
    <tableColumn id="6" xr3:uid="{00000000-0010-0000-0600-000006000000}" name="2015 to 2016 (£ million)"/>
    <tableColumn id="7" xr3:uid="{00000000-0010-0000-0600-000007000000}" name="2016 to 2017 (£ million)"/>
    <tableColumn id="8" xr3:uid="{00000000-0010-0000-0600-000008000000}" name="2017 to 2018 (£ million)"/>
    <tableColumn id="9" xr3:uid="{00000000-0010-0000-0600-000009000000}" name="2018 to 2019 (£ million)"/>
    <tableColumn id="10" xr3:uid="{00000000-0010-0000-0600-00000A000000}" name="2019 to 2020 (£ million)"/>
    <tableColumn id="11" xr3:uid="{00000000-0010-0000-0600-00000B000000}" name="2020 to 2021 (£ million)"/>
    <tableColumn id="12" xr3:uid="{00000000-0010-0000-0600-00000C000000}" name="2021 to 2022 (£ million)"/>
    <tableColumn id="13" xr3:uid="{00000000-0010-0000-0600-00000D000000}" name="2022 to 2023 (£ million)"/>
    <tableColumn id="14" xr3:uid="{00000000-0010-0000-0600-00000E000000}" name="2023 to 2024 (£ million)"/>
  </tableColumns>
  <tableStyleInfo showFirstColumn="0" showLastColumn="0" showRowStripes="1" showColumnStripes="0"/>
</table>
</file>

<file path=xl/tables/table8.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8" xr:uid="{00000000-000C-0000-FFFF-FFFF07000000}" name="T9.7_all_subs" displayName="T9.7_all_subs" ref="A6:M15" totalsRowShown="0">
  <tableColumns count="13">
    <tableColumn id="1" xr3:uid="{00000000-0010-0000-0700-000001000000}" name="Range of Income of All ISA Subscribers (maximum combined subscription £20,000) "/>
    <tableColumn id="2" xr3:uid="{00000000-0010-0000-0700-000002000000}" name="£1-£2,499_x000a_(thousands)"/>
    <tableColumn id="3" xr3:uid="{00000000-0010-0000-0700-000003000000}" name="£2,500-£4,999_x000a_(thousands)"/>
    <tableColumn id="4" xr3:uid="{00000000-0010-0000-0700-000004000000}" name="£5,000-£7,499_x000a_(thousands)"/>
    <tableColumn id="5" xr3:uid="{00000000-0010-0000-0700-000005000000}" name="£7,500-£9,999_x000a_(thousands)"/>
    <tableColumn id="6" xr3:uid="{00000000-0010-0000-0700-000006000000}" name="£10,000-£12,499_x000a_(thousands)"/>
    <tableColumn id="7" xr3:uid="{00000000-0010-0000-0700-000007000000}" name="£12,500-£14,999_x000a_(thousands)"/>
    <tableColumn id="8" xr3:uid="{00000000-0010-0000-0700-000008000000}" name="£15,000- £17,499_x000a_(thousands)"/>
    <tableColumn id="9" xr3:uid="{00000000-0010-0000-0700-000009000000}" name="£17,500- £19,999_x000a_(thousands)"/>
    <tableColumn id="10" xr3:uid="{00000000-0010-0000-0700-00000A000000}" name="£20,000_x000a_(thousands)"/>
    <tableColumn id="11" xr3:uid="{00000000-0010-0000-0700-00000B000000}" name="All Subscriptions_x000a_(thousands)"/>
    <tableColumn id="12" xr3:uid="{00000000-0010-0000-0700-00000C000000}" name="No further subscription_x000a_(thousands)"/>
    <tableColumn id="13" xr3:uid="{00000000-0010-0000-0700-00000D000000}" name="All ISA holders_x000a_(thousands)"/>
  </tableColumns>
  <tableStyleInfo showFirstColumn="0" showLastColumn="0" showRowStripes="1" showColumnStripes="0"/>
</table>
</file>

<file path=xl/tables/table9.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9" xr:uid="{00000000-000C-0000-FFFF-FFFF08000000}" name="T9.7_cash_subs" displayName="T9.7_cash_subs" ref="A16:M25" totalsRowShown="0">
  <tableColumns count="13">
    <tableColumn id="1" xr3:uid="{00000000-0010-0000-0800-000001000000}" name="Range of Income of Cash ISA Subscribers Only"/>
    <tableColumn id="2" xr3:uid="{00000000-0010-0000-0800-000002000000}" name="£1-£2,499_x000a_(thousands)"/>
    <tableColumn id="3" xr3:uid="{00000000-0010-0000-0800-000003000000}" name="£2,500-£4,999_x000a_(thousands)"/>
    <tableColumn id="4" xr3:uid="{00000000-0010-0000-0800-000004000000}" name="£5,000-£7,499_x000a_(thousands)"/>
    <tableColumn id="5" xr3:uid="{00000000-0010-0000-0800-000005000000}" name="£7,500-£9,999_x000a_(thousands)"/>
    <tableColumn id="6" xr3:uid="{00000000-0010-0000-0800-000006000000}" name="£10,000-£12,499_x000a_(thousands)"/>
    <tableColumn id="7" xr3:uid="{00000000-0010-0000-0800-000007000000}" name="£12,500-£14,999_x000a_(thousands)"/>
    <tableColumn id="8" xr3:uid="{00000000-0010-0000-0800-000008000000}" name="£15,000- £17,499_x000a_(thousands)"/>
    <tableColumn id="9" xr3:uid="{00000000-0010-0000-0800-000009000000}" name="£17,500- £19,999_x000a_(thousands)"/>
    <tableColumn id="10" xr3:uid="{00000000-0010-0000-0800-00000A000000}" name="£20,000_x000a_(thousands)"/>
    <tableColumn id="11" xr3:uid="{00000000-0010-0000-0800-00000B000000}" name="All Subscriptions_x000a_(thousands)"/>
    <tableColumn id="12" xr3:uid="{00000000-0010-0000-0800-00000C000000}" name="No further subscription_x000a_(thousands)"/>
    <tableColumn id="13" xr3:uid="{00000000-0010-0000-0800-00000D000000}" name="All ISA holders_x000a_(thousands)"/>
  </tableColumns>
  <tableStyleInfo showFirstColumn="0" showLastColumn="0" showRowStripes="1" showColumnStripes="0"/>
</table>
</file>

<file path=xl/tables/table10.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0" xr:uid="{00000000-000C-0000-FFFF-FFFF09000000}" name="T9.7_sands_subs" displayName="T9.7_sands_subs" ref="A26:M35" totalsRowShown="0">
  <tableColumns count="13">
    <tableColumn id="1" xr3:uid="{00000000-0010-0000-0900-000001000000}" name="Range of Income of Stocks &amp; Shares ISA Subscribers Only"/>
    <tableColumn id="2" xr3:uid="{00000000-0010-0000-0900-000002000000}" name="£1-£2,499_x000a_(thousands)"/>
    <tableColumn id="3" xr3:uid="{00000000-0010-0000-0900-000003000000}" name="£2,500-£4,999_x000a_(thousands)"/>
    <tableColumn id="4" xr3:uid="{00000000-0010-0000-0900-000004000000}" name="£5,000-£7,499_x000a_(thousands)"/>
    <tableColumn id="5" xr3:uid="{00000000-0010-0000-0900-000005000000}" name="£7,500-£9,999_x000a_(thousands)"/>
    <tableColumn id="6" xr3:uid="{00000000-0010-0000-0900-000006000000}" name="£10,000-£12,499_x000a_(thousands)"/>
    <tableColumn id="7" xr3:uid="{00000000-0010-0000-0900-000007000000}" name="£12,500-£14,999_x000a_(thousands)"/>
    <tableColumn id="8" xr3:uid="{00000000-0010-0000-0900-000008000000}" name="£15,000- £17,499_x000a_(thousands)"/>
    <tableColumn id="9" xr3:uid="{00000000-0010-0000-0900-000009000000}" name="£17,500- £19,999_x000a_(thousands)"/>
    <tableColumn id="10" xr3:uid="{00000000-0010-0000-0900-00000A000000}" name="£20,000_x000a_(thousands)"/>
    <tableColumn id="11" xr3:uid="{00000000-0010-0000-0900-00000B000000}" name="All Subscriptions_x000a_(thousands)"/>
    <tableColumn id="12" xr3:uid="{00000000-0010-0000-0900-00000C000000}" name="No further subscription_x000a_(thousands)"/>
    <tableColumn id="13" xr3:uid="{00000000-0010-0000-0900-00000D000000}" name="All ISA holders_x000a_(thousands)"/>
  </tableColumns>
  <tableStyleInfo showFirstColumn="0" showLastColumn="0" showRowStripes="1" showColumnStripes="0"/>
</table>
</file>

<file path=xl/tables/table1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1" xr:uid="{00000000-000C-0000-FFFF-FFFF0A000000}" name="T9.7_cash_and_sands_subs" displayName="T9.7_cash_and_sands_subs" ref="A36:M45" totalsRowShown="0">
  <tableColumns count="13">
    <tableColumn id="1" xr3:uid="{00000000-0010-0000-0A00-000001000000}" name="Range of Income of Cash and Stocks &amp; Shares ISA Subscribers"/>
    <tableColumn id="2" xr3:uid="{00000000-0010-0000-0A00-000002000000}" name="£1-£2,499_x000a_(thousands)"/>
    <tableColumn id="3" xr3:uid="{00000000-0010-0000-0A00-000003000000}" name="£2,500-£4,999_x000a_(thousands)"/>
    <tableColumn id="4" xr3:uid="{00000000-0010-0000-0A00-000004000000}" name="£5,000-£7,499_x000a_(thousands)"/>
    <tableColumn id="5" xr3:uid="{00000000-0010-0000-0A00-000005000000}" name="£7,500-£9,999_x000a_(thousands)"/>
    <tableColumn id="6" xr3:uid="{00000000-0010-0000-0A00-000006000000}" name="£10,000-£12,499_x000a_(thousands)"/>
    <tableColumn id="7" xr3:uid="{00000000-0010-0000-0A00-000007000000}" name="£12,500-£14,999_x000a_(thousands)"/>
    <tableColumn id="8" xr3:uid="{00000000-0010-0000-0A00-000008000000}" name="£15,000- £17,499_x000a_(thousands)"/>
    <tableColumn id="9" xr3:uid="{00000000-0010-0000-0A00-000009000000}" name="£17,500- £19,999_x000a_(thousands)"/>
    <tableColumn id="10" xr3:uid="{00000000-0010-0000-0A00-00000A000000}" name="£20,000_x000a_(thousands)"/>
    <tableColumn id="11" xr3:uid="{00000000-0010-0000-0A00-00000B000000}" name="All Subscriptions_x000a_(thousands)"/>
    <tableColumn id="12" xr3:uid="{00000000-0010-0000-0A00-00000C000000}" name="No further subscription_x000a_(thousands)"/>
    <tableColumn id="13" xr3:uid="{00000000-0010-0000-0A00-00000D000000}" name="All ISA holders_x000a_(thousands)"/>
  </tableColumns>
  <tableStyleInfo showFirstColumn="0" showLastColumn="0" showRowStripes="1" showColumnStripes="0"/>
</table>
</file>

<file path=xl/tables/table1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2" xr:uid="{00000000-000C-0000-FFFF-FFFF0B000000}" name="T9.8_age_sex_subs" displayName="T9.8_age_sex_subs" ref="A6:G27" totalsRowShown="0">
  <tableColumns count="7">
    <tableColumn id="1" xr3:uid="{00000000-0010-0000-0B00-000001000000}" name="Type of ISA"/>
    <tableColumn id="2" xr3:uid="{00000000-0010-0000-0B00-000002000000}" name="Cash ISA_x000a_(thousands)"/>
    <tableColumn id="3" xr3:uid="{00000000-0010-0000-0B00-000003000000}" name="Stocks &amp; Shares ISA_x000a_(thousands)"/>
    <tableColumn id="4" xr3:uid="{00000000-0010-0000-0B00-000004000000}" name="Stocks &amp; Shares and Cash ISA_x000a_(thousands)"/>
    <tableColumn id="5" xr3:uid="{00000000-0010-0000-0B00-000005000000}" name="All Subscriptions_x000a_(thousands)"/>
    <tableColumn id="6" xr3:uid="{00000000-0010-0000-0B00-000006000000}" name="No further subscription_x000a_(thousands)"/>
    <tableColumn id="7" xr3:uid="{00000000-0010-0000-0B00-000007000000}" name="All ISA Holders_x000a_(thousands)"/>
  </tableColumns>
  <tableStyleInfo showFirstColumn="0" showLastColumn="0" showRowStripes="1" showColumnStripes="0"/>
</table>
</file>

<file path=xl/tables/table13.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3" xr:uid="{00000000-000C-0000-FFFF-FFFF0C000000}" name="T9.9_regional_subs" displayName="T9.9_regional_subs" ref="A6:H22" totalsRowShown="0">
  <tableColumns count="8">
    <tableColumn id="1" xr3:uid="{00000000-0010-0000-0C00-000001000000}" name="Area Code"/>
    <tableColumn id="2" xr3:uid="{00000000-0010-0000-0C00-000002000000}" name="Type of ISA"/>
    <tableColumn id="3" xr3:uid="{00000000-0010-0000-0C00-000003000000}" name="Cash ISA_x000a_(thousands)"/>
    <tableColumn id="4" xr3:uid="{00000000-0010-0000-0C00-000004000000}" name="Stocks &amp; Shares ISA_x000a_(thousands)"/>
    <tableColumn id="5" xr3:uid="{00000000-0010-0000-0C00-000005000000}" name="Stocks &amp; Shares and Cash ISA_x000a_(thousands)"/>
    <tableColumn id="6" xr3:uid="{00000000-0010-0000-0C00-000006000000}" name="All Subscriptions_x000a_(thousands)"/>
    <tableColumn id="7" xr3:uid="{00000000-0010-0000-0C00-000007000000}" name="No further subscription_x000a_(thousands)"/>
    <tableColumn id="8" xr3:uid="{00000000-0010-0000-0C00-000008000000}" name="All ISA Holders_x000a_(thousands)"/>
  </tableColumns>
  <tableStyleInfo showFirstColumn="0" showLastColumn="0" showRowStripes="1" showColumnStripes="0"/>
</table>
</file>

<file path=xl/tables/table14.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4" xr:uid="{00000000-000C-0000-FFFF-FFFF0D000000}" name="T9.10_income_all" displayName="T9.10_income_all" ref="A5:K14" totalsRowShown="0">
  <tableColumns count="11">
    <tableColumn id="1" xr3:uid="{00000000-0010-0000-0D00-000001000000}" name="Range of Income of All ISA Holders"/>
    <tableColumn id="2" xr3:uid="{00000000-0010-0000-0D00-000002000000}" name="£1-£2,499_x000a_(thousands)"/>
    <tableColumn id="3" xr3:uid="{00000000-0010-0000-0D00-000003000000}" name="£2,500-£4,999_x000a_(thousands)"/>
    <tableColumn id="4" xr3:uid="{00000000-0010-0000-0D00-000004000000}" name="£5,000-£9,999_x000a_(thousands)"/>
    <tableColumn id="5" xr3:uid="{00000000-0010-0000-0D00-000005000000}" name="£10,000-£14,999_x000a_(thousands)"/>
    <tableColumn id="6" xr3:uid="{00000000-0010-0000-0D00-000006000000}" name="£15,000-£19,999_x000a_(thousands)"/>
    <tableColumn id="7" xr3:uid="{00000000-0010-0000-0D00-000007000000}" name="£20,000-£24,999_x000a_(thousands)"/>
    <tableColumn id="8" xr3:uid="{00000000-0010-0000-0D00-000008000000}" name="£25,000-£49,999_x000a_(thousands)"/>
    <tableColumn id="9" xr3:uid="{00000000-0010-0000-0D00-000009000000}" name="£50,000 or more_x000a_(thousands)"/>
    <tableColumn id="10" xr3:uid="{00000000-0010-0000-0D00-00000A000000}" name="Total_x000a_(thousands)"/>
    <tableColumn id="11" xr3:uid="{00000000-0010-0000-0D00-00000B000000}" name="Average ISA Market Value (£)"/>
  </tableColumns>
  <tableStyleInfo showFirstColumn="0" showLastColumn="0" showRowStripes="1" showColumnStripes="0"/>
</table>
</file>

<file path=xl/tables/table15.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5" xr:uid="{00000000-000C-0000-FFFF-FFFF0E000000}" name="T9.10_income_cash" displayName="T9.10_income_cash" ref="A15:K24" totalsRowShown="0">
  <tableColumns count="11">
    <tableColumn id="1" xr3:uid="{00000000-0010-0000-0E00-000001000000}" name="Range of Income of Cash ISA Holders Only"/>
    <tableColumn id="2" xr3:uid="{00000000-0010-0000-0E00-000002000000}" name="£1-£2,499_x000a_(thousands)"/>
    <tableColumn id="3" xr3:uid="{00000000-0010-0000-0E00-000003000000}" name="£2,500-£4,999_x000a_(thousands)"/>
    <tableColumn id="4" xr3:uid="{00000000-0010-0000-0E00-000004000000}" name="£5,000-£9,999_x000a_(thousands)"/>
    <tableColumn id="5" xr3:uid="{00000000-0010-0000-0E00-000005000000}" name="£10,000-£14,999_x000a_(thousands)"/>
    <tableColumn id="6" xr3:uid="{00000000-0010-0000-0E00-000006000000}" name="£15,000-£19,999_x000a_(thousands)"/>
    <tableColumn id="7" xr3:uid="{00000000-0010-0000-0E00-000007000000}" name="£20,000-£24,999_x000a_(thousands)"/>
    <tableColumn id="8" xr3:uid="{00000000-0010-0000-0E00-000008000000}" name="£25,000-£49,999_x000a_(thousands)"/>
    <tableColumn id="9" xr3:uid="{00000000-0010-0000-0E00-000009000000}" name="£50,000 or more_x000a_(thousands)"/>
    <tableColumn id="10" xr3:uid="{00000000-0010-0000-0E00-00000A000000}" name="Total_x000a_(thousands)"/>
    <tableColumn id="11" xr3:uid="{00000000-0010-0000-0E00-00000B000000}" name="Average ISA Market Value (£)"/>
  </tableColumns>
  <tableStyleInfo showFirstColumn="0" showLastColumn="0" showRowStripes="1" showColumnStripes="0"/>
</table>
</file>

<file path=xl/tables/table16.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6" xr:uid="{00000000-000C-0000-FFFF-FFFF0F000000}" name="T9.10_income_sands" displayName="T9.10_income_sands" ref="A25:K34" totalsRowShown="0">
  <tableColumns count="11">
    <tableColumn id="1" xr3:uid="{00000000-0010-0000-0F00-000001000000}" name="Range of Income of Stocks &amp; Shares ISA Holders Only"/>
    <tableColumn id="2" xr3:uid="{00000000-0010-0000-0F00-000002000000}" name="£1-£2,499_x000a_(thousands)"/>
    <tableColumn id="3" xr3:uid="{00000000-0010-0000-0F00-000003000000}" name="£2,500-£4,999_x000a_(thousands)"/>
    <tableColumn id="4" xr3:uid="{00000000-0010-0000-0F00-000004000000}" name="£5,000-£9,999_x000a_(thousands)"/>
    <tableColumn id="5" xr3:uid="{00000000-0010-0000-0F00-000005000000}" name="£10,000-£14,999_x000a_(thousands)"/>
    <tableColumn id="6" xr3:uid="{00000000-0010-0000-0F00-000006000000}" name="£15,000-£19,999_x000a_(thousands)"/>
    <tableColumn id="7" xr3:uid="{00000000-0010-0000-0F00-000007000000}" name="£20,000-£24,999_x000a_(thousands)"/>
    <tableColumn id="8" xr3:uid="{00000000-0010-0000-0F00-000008000000}" name="£25,000-£49,999_x000a_(thousands)"/>
    <tableColumn id="9" xr3:uid="{00000000-0010-0000-0F00-000009000000}" name="£50,000 or more_x000a_(thousands)"/>
    <tableColumn id="10" xr3:uid="{00000000-0010-0000-0F00-00000A000000}" name="Total_x000a_(thousands)"/>
    <tableColumn id="11" xr3:uid="{00000000-0010-0000-0F00-00000B000000}" name="Average ISA Market Value (£)"/>
  </tableColumns>
  <tableStyleInfo showFirstColumn="0" showLastColumn="0" showRowStripes="1" showColumnStripes="0"/>
</table>
</file>

<file path=xl/tables/table17.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7" xr:uid="{00000000-000C-0000-FFFF-FFFF10000000}" name="T9.10_income_cash_and_sands" displayName="T9.10_income_cash_and_sands" ref="A35:K44" totalsRowShown="0">
  <tableColumns count="11">
    <tableColumn id="1" xr3:uid="{00000000-0010-0000-1000-000001000000}" name="Range of Income of Cash and Stocks &amp; Shares ISA Holders"/>
    <tableColumn id="2" xr3:uid="{00000000-0010-0000-1000-000002000000}" name="£1-£2,499_x000a_(thousands)"/>
    <tableColumn id="3" xr3:uid="{00000000-0010-0000-1000-000003000000}" name="£2,500-£4,999_x000a_(thousands)"/>
    <tableColumn id="4" xr3:uid="{00000000-0010-0000-1000-000004000000}" name="£5,000-£9,999_x000a_(thousands)"/>
    <tableColumn id="5" xr3:uid="{00000000-0010-0000-1000-000005000000}" name="£10,000-£14,999_x000a_(thousands)"/>
    <tableColumn id="6" xr3:uid="{00000000-0010-0000-1000-000006000000}" name="£15,000-£19,999_x000a_(thousands)"/>
    <tableColumn id="7" xr3:uid="{00000000-0010-0000-1000-000007000000}" name="£20,000-£24,999_x000a_(thousands)"/>
    <tableColumn id="8" xr3:uid="{00000000-0010-0000-1000-000008000000}" name="£25,000-£49,999_x000a_(thousands)"/>
    <tableColumn id="9" xr3:uid="{00000000-0010-0000-1000-000009000000}" name="£50,000 or more_x000a_(thousands)"/>
    <tableColumn id="10" xr3:uid="{00000000-0010-0000-1000-00000A000000}" name="Total_x000a_(thousands)"/>
    <tableColumn id="11" xr3:uid="{00000000-0010-0000-1000-00000B000000}" name="Average ISA Market Value (£)"/>
  </tableColumns>
  <tableStyleInfo showFirstColumn="0" showLastColumn="0" showRowStripes="1" showColumnStripes="0"/>
</table>
</file>

<file path=xl/tables/table18.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8" xr:uid="{00000000-000C-0000-FFFF-FFFF11000000}" name="T9.11_age_sex_value" displayName="T9.11_age_sex_value" ref="A5:K26" totalsRowShown="0">
  <tableColumns count="11">
    <tableColumn id="1" xr3:uid="{00000000-0010-0000-1100-000001000000}" name="Market Value"/>
    <tableColumn id="2" xr3:uid="{00000000-0010-0000-1100-000002000000}" name="£1-£2,499_x000a_(thousands)"/>
    <tableColumn id="3" xr3:uid="{00000000-0010-0000-1100-000003000000}" name="£2,500-£4,999_x000a_(thousands)"/>
    <tableColumn id="4" xr3:uid="{00000000-0010-0000-1100-000004000000}" name="£5,000-£9,999_x000a_(thousands)"/>
    <tableColumn id="5" xr3:uid="{00000000-0010-0000-1100-000005000000}" name="£10,000-£14,999_x000a_(thousands)"/>
    <tableColumn id="6" xr3:uid="{00000000-0010-0000-1100-000006000000}" name="£15,000-£19,999_x000a_(thousands)"/>
    <tableColumn id="7" xr3:uid="{00000000-0010-0000-1100-000007000000}" name="£20,000-£24,999_x000a_(thousands)"/>
    <tableColumn id="8" xr3:uid="{00000000-0010-0000-1100-000008000000}" name="£25,000-£49,999_x000a_(thousands)"/>
    <tableColumn id="9" xr3:uid="{00000000-0010-0000-1100-000009000000}" name="£50,000 or more_x000a_(thousands)"/>
    <tableColumn id="10" xr3:uid="{00000000-0010-0000-1100-00000A000000}" name="Total_x000a_(thousands)"/>
    <tableColumn id="11" xr3:uid="{00000000-0010-0000-1100-00000B000000}" name="Average ISA Market Value (£)"/>
  </tableColumns>
  <tableStyleInfo showFirstColumn="0" showLastColumn="0" showRowStripes="1" showColumnStripes="0"/>
</table>
</file>

<file path=xl/tables/table19.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9" xr:uid="{00000000-000C-0000-FFFF-FFFF12000000}" name="T9.12_values_region" displayName="T9.12_values_region" ref="A7:M23" totalsRowShown="0">
  <tableColumns count="13">
    <tableColumn id="1" xr3:uid="{00000000-0010-0000-1200-000001000000}" name="Area Code"/>
    <tableColumn id="2" xr3:uid="{00000000-0010-0000-1200-000002000000}" name="Market Value"/>
    <tableColumn id="3" xr3:uid="{00000000-0010-0000-1200-000003000000}" name="£1-£2,499_x000a_(thousands)"/>
    <tableColumn id="4" xr3:uid="{00000000-0010-0000-1200-000004000000}" name="£2,500-£4,999_x000a_(thousands)"/>
    <tableColumn id="5" xr3:uid="{00000000-0010-0000-1200-000005000000}" name="£5,000-£9,999_x000a_(thousands)"/>
    <tableColumn id="6" xr3:uid="{00000000-0010-0000-1200-000006000000}" name="£10,000-£14,999_x000a_(thousands)"/>
    <tableColumn id="7" xr3:uid="{00000000-0010-0000-1200-000007000000}" name="£15,000-£19,999_x000a_(thousands)"/>
    <tableColumn id="8" xr3:uid="{00000000-0010-0000-1200-000008000000}" name="£20,000-£24,999_x000a_(thousands)"/>
    <tableColumn id="9" xr3:uid="{00000000-0010-0000-1200-000009000000}" name="£25,000-£49,999_x000a_(thousands)"/>
    <tableColumn id="10" xr3:uid="{00000000-0010-0000-1200-00000A000000}" name="£50,000 or more_x000a_(thousands)"/>
    <tableColumn id="11" xr3:uid="{00000000-0010-0000-1200-00000B000000}" name="Total_x000a_(thousands)"/>
    <tableColumn id="12" xr3:uid="{00000000-0010-0000-1200-00000C000000}" name="Percentage of all adults (%)"/>
    <tableColumn id="13" xr3:uid="{00000000-0010-0000-1200-00000D000000}" name="Average ISA Market Value (£)"/>
  </tableColumns>
  <tableStyleInfo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purl.oclc.org/ooxml/officeDocument/relationships/hyperlink" Target="mailto:personaltax.statistics@hmrc.gov.uk" TargetMode="External"/><Relationship Id="rId2" Type="http://purl.oclc.org/ooxml/officeDocument/relationships/hyperlink" Target="mailto:news.desk@hmrc.gov.uk" TargetMode="External"/><Relationship Id="rId1" Type="http://purl.oclc.org/ooxml/officeDocument/relationships/hyperlink" Target="mailto:personaltax.statistics@hmrc.gov.uk" TargetMode="External"/></Relationships>
</file>

<file path=xl/worksheets/_rels/sheet3.xml.rels><?xml version="1.0" encoding="UTF-8" standalone="yes"?>
<Relationships xmlns="http://schemas.openxmlformats.org/package/2006/relationships"><Relationship Id="rId3" Type="http://purl.oclc.org/ooxml/officeDocument/relationships/table" Target="../tables/table3.xml"/><Relationship Id="rId2" Type="http://purl.oclc.org/ooxml/officeDocument/relationships/table" Target="../tables/table2.xml"/><Relationship Id="rId1" Type="http://purl.oclc.org/ooxml/officeDocument/relationships/table" Target="../tables/table1.xml"/><Relationship Id="rId6" Type="http://purl.oclc.org/ooxml/officeDocument/relationships/table" Target="../tables/table6.xml"/><Relationship Id="rId5" Type="http://purl.oclc.org/ooxml/officeDocument/relationships/table" Target="../tables/table5.xml"/><Relationship Id="rId4" Type="http://purl.oclc.org/ooxml/officeDocument/relationships/table" Target="../tables/table4.xml"/></Relationships>
</file>

<file path=xl/worksheets/_rels/sheet4.xml.rels><?xml version="1.0" encoding="UTF-8" standalone="yes"?>
<Relationships xmlns="http://schemas.openxmlformats.org/package/2006/relationships"><Relationship Id="rId1" Type="http://purl.oclc.org/ooxml/officeDocument/relationships/table" Target="../tables/table7.xml"/></Relationships>
</file>

<file path=xl/worksheets/_rels/sheet5.xml.rels><?xml version="1.0" encoding="UTF-8" standalone="yes"?>
<Relationships xmlns="http://schemas.openxmlformats.org/package/2006/relationships"><Relationship Id="rId3" Type="http://purl.oclc.org/ooxml/officeDocument/relationships/table" Target="../tables/table10.xml"/><Relationship Id="rId2" Type="http://purl.oclc.org/ooxml/officeDocument/relationships/table" Target="../tables/table9.xml"/><Relationship Id="rId1" Type="http://purl.oclc.org/ooxml/officeDocument/relationships/table" Target="../tables/table8.xml"/><Relationship Id="rId4" Type="http://purl.oclc.org/ooxml/officeDocument/relationships/table" Target="../tables/table11.xml"/></Relationships>
</file>

<file path=xl/worksheets/_rels/sheet6.xml.rels><?xml version="1.0" encoding="UTF-8" standalone="yes"?>
<Relationships xmlns="http://schemas.openxmlformats.org/package/2006/relationships"><Relationship Id="rId2" Type="http://purl.oclc.org/ooxml/officeDocument/relationships/table" Target="../tables/table12.xml"/><Relationship Id="rId1" Type="http://purl.oclc.org/ooxml/officeDocument/relationships/drawing" Target="../drawings/drawing1.xml"/></Relationships>
</file>

<file path=xl/worksheets/_rels/sheet7.xml.rels><?xml version="1.0" encoding="UTF-8" standalone="yes"?>
<Relationships xmlns="http://schemas.openxmlformats.org/package/2006/relationships"><Relationship Id="rId1" Type="http://purl.oclc.org/ooxml/officeDocument/relationships/table" Target="../tables/table13.xml"/></Relationships>
</file>

<file path=xl/worksheets/_rels/sheet8.xml.rels><?xml version="1.0" encoding="UTF-8" standalone="yes"?>
<Relationships xmlns="http://schemas.openxmlformats.org/package/2006/relationships"><Relationship Id="rId3" Type="http://purl.oclc.org/ooxml/officeDocument/relationships/table" Target="../tables/table16.xml"/><Relationship Id="rId2" Type="http://purl.oclc.org/ooxml/officeDocument/relationships/table" Target="../tables/table15.xml"/><Relationship Id="rId1" Type="http://purl.oclc.org/ooxml/officeDocument/relationships/table" Target="../tables/table14.xml"/><Relationship Id="rId4" Type="http://purl.oclc.org/ooxml/officeDocument/relationships/table" Target="../tables/table17.xml"/></Relationships>
</file>

<file path=xl/worksheets/_rels/sheet9.xml.rels><?xml version="1.0" encoding="UTF-8" standalone="yes"?>
<Relationships xmlns="http://schemas.openxmlformats.org/package/2006/relationships"><Relationship Id="rId1" Type="http://purl.oclc.org/ooxml/officeDocument/relationships/table" Target="../tables/table18.xml"/></Relationships>
</file>

<file path=xl/worksheets/_rels/sheet10.xml.rels><?xml version="1.0" encoding="UTF-8" standalone="yes"?>
<Relationships xmlns="http://schemas.openxmlformats.org/package/2006/relationships"><Relationship Id="rId1" Type="http://purl.oclc.org/ooxml/officeDocument/relationships/table" Target="../tables/table19.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7"/>
  <sheetViews>
    <sheetView workbookViewId="0"/>
  </sheetViews>
  <sheetFormatPr baseColWidth="10" defaultColWidth="22.6640625" defaultRowHeight="13" zeroHeight="1" x14ac:dyDescent="0.15"/>
  <cols>
    <col min="1" max="1" width="226" customWidth="1"/>
    <col min="2" max="2" width="22.6640625" customWidth="1"/>
  </cols>
  <sheetData>
    <row r="1" spans="1:1" s="2" customFormat="1" ht="23" x14ac:dyDescent="0.25">
      <c r="A1" s="1" t="s">
        <v>0</v>
      </c>
    </row>
    <row r="2" spans="1:1" ht="39" customHeight="1" x14ac:dyDescent="0.2">
      <c r="A2" s="3" t="s">
        <v>1</v>
      </c>
    </row>
    <row r="3" spans="1:1" ht="42.75" customHeight="1" x14ac:dyDescent="0.2">
      <c r="A3" s="3" t="s">
        <v>2</v>
      </c>
    </row>
    <row r="4" spans="1:1" ht="29.25" customHeight="1" x14ac:dyDescent="0.2">
      <c r="A4" s="3" t="s">
        <v>3</v>
      </c>
    </row>
    <row r="5" spans="1:1" ht="36" customHeight="1" x14ac:dyDescent="0.15">
      <c r="A5" s="4" t="s">
        <v>4</v>
      </c>
    </row>
    <row r="6" spans="1:1" ht="17" x14ac:dyDescent="0.15">
      <c r="A6" s="5" t="s">
        <v>5</v>
      </c>
    </row>
    <row r="7" spans="1:1" ht="17" x14ac:dyDescent="0.15">
      <c r="A7" s="5" t="s">
        <v>6</v>
      </c>
    </row>
    <row r="8" spans="1:1" ht="17" x14ac:dyDescent="0.15">
      <c r="A8" s="5" t="s">
        <v>7</v>
      </c>
    </row>
    <row r="9" spans="1:1" ht="17" x14ac:dyDescent="0.15">
      <c r="A9" s="6" t="s">
        <v>8</v>
      </c>
    </row>
    <row r="10" spans="1:1" ht="23.25" customHeight="1" x14ac:dyDescent="0.15">
      <c r="A10" s="5" t="s">
        <v>9</v>
      </c>
    </row>
    <row r="11" spans="1:1" ht="33.75" customHeight="1" x14ac:dyDescent="0.15">
      <c r="A11" s="4" t="s">
        <v>10</v>
      </c>
    </row>
    <row r="12" spans="1:1" ht="17" x14ac:dyDescent="0.15">
      <c r="A12" s="5" t="s">
        <v>11</v>
      </c>
    </row>
    <row r="13" spans="1:1" ht="17" x14ac:dyDescent="0.15">
      <c r="A13" s="6" t="s">
        <v>12</v>
      </c>
    </row>
    <row r="14" spans="1:1" ht="36.5" customHeight="1" x14ac:dyDescent="0.15">
      <c r="A14" s="4" t="s">
        <v>13</v>
      </c>
    </row>
    <row r="15" spans="1:1" ht="17" x14ac:dyDescent="0.15">
      <c r="A15" s="5" t="s">
        <v>14</v>
      </c>
    </row>
    <row r="16" spans="1:1" ht="17" x14ac:dyDescent="0.15">
      <c r="A16" s="6" t="s">
        <v>8</v>
      </c>
    </row>
    <row r="17" spans="1:1" ht="34" x14ac:dyDescent="0.15">
      <c r="A17" s="5" t="s">
        <v>15</v>
      </c>
    </row>
    <row r="18" spans="1:1" ht="17" x14ac:dyDescent="0.15">
      <c r="A18" s="7" t="s">
        <v>16</v>
      </c>
    </row>
    <row r="19" spans="1:1" x14ac:dyDescent="0.15"/>
    <row r="20" spans="1:1" x14ac:dyDescent="0.15"/>
    <row r="21" spans="1:1" x14ac:dyDescent="0.15"/>
    <row r="22" spans="1:1" x14ac:dyDescent="0.15"/>
    <row r="23" spans="1:1" x14ac:dyDescent="0.15"/>
    <row r="24" spans="1:1" x14ac:dyDescent="0.15"/>
    <row r="25" spans="1:1" x14ac:dyDescent="0.15"/>
    <row r="26" spans="1:1" x14ac:dyDescent="0.15"/>
    <row r="27" spans="1:1" x14ac:dyDescent="0.15"/>
    <row r="28" spans="1:1" x14ac:dyDescent="0.15"/>
    <row r="29" spans="1:1" x14ac:dyDescent="0.15"/>
    <row r="30" spans="1:1" x14ac:dyDescent="0.15"/>
    <row r="31" spans="1:1" x14ac:dyDescent="0.15"/>
    <row r="32" spans="1:1" x14ac:dyDescent="0.15"/>
    <row r="33" x14ac:dyDescent="0.15"/>
    <row r="34" x14ac:dyDescent="0.15"/>
    <row r="35" x14ac:dyDescent="0.15"/>
    <row r="36" x14ac:dyDescent="0.15"/>
    <row r="37" x14ac:dyDescent="0.15"/>
    <row r="38" x14ac:dyDescent="0.15"/>
    <row r="39" x14ac:dyDescent="0.15"/>
    <row r="40" x14ac:dyDescent="0.15"/>
    <row r="41" x14ac:dyDescent="0.15"/>
    <row r="42" x14ac:dyDescent="0.15"/>
    <row r="43" x14ac:dyDescent="0.15"/>
    <row r="44" x14ac:dyDescent="0.15"/>
    <row r="45" x14ac:dyDescent="0.15"/>
    <row r="46" x14ac:dyDescent="0.15"/>
    <row r="47" x14ac:dyDescent="0.15"/>
    <row r="48" x14ac:dyDescent="0.15"/>
    <row r="49" x14ac:dyDescent="0.15"/>
    <row r="50" x14ac:dyDescent="0.15"/>
    <row r="51" x14ac:dyDescent="0.15"/>
    <row r="52" x14ac:dyDescent="0.15"/>
    <row r="53" x14ac:dyDescent="0.15"/>
    <row r="54" x14ac:dyDescent="0.15"/>
    <row r="55" x14ac:dyDescent="0.15"/>
    <row r="56" x14ac:dyDescent="0.15"/>
    <row r="57" x14ac:dyDescent="0.15"/>
  </sheetData>
  <hyperlinks>
    <hyperlink ref="A9" r:id="rId1" xr:uid="{00000000-0004-0000-0000-000000000000}"/>
    <hyperlink ref="A13" r:id="rId2" xr:uid="{00000000-0004-0000-0000-000001000000}"/>
    <hyperlink ref="A16" r:id="rId3" xr:uid="{00000000-0004-0000-0000-000002000000}"/>
  </hyperlinks>
  <pageMargins left="0.70000000000000007" right="0.70000000000000007" top="0.75" bottom="0.75" header="0.30000000000000004" footer="0.30000000000000004"/>
  <pageSetup paperSize="0" fitToWidth="0" fitToHeight="0" orientation="portrait" horizontalDpi="0" verticalDpi="0" copies="0"/>
  <headerFooter>
    <oddFooter>&amp;C&amp;1#&amp;"Calibri,Regular"&amp;10OFFICIAL</oddFooter>
  </headerFooter>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7"/>
  <sheetViews>
    <sheetView workbookViewId="0"/>
  </sheetViews>
  <sheetFormatPr baseColWidth="10" defaultColWidth="1.1640625" defaultRowHeight="13" x14ac:dyDescent="0.15"/>
  <cols>
    <col min="1" max="1" width="93.33203125" style="21" customWidth="1"/>
    <col min="2" max="2" width="169.1640625" style="21" customWidth="1"/>
    <col min="3" max="3" width="11.1640625" style="21" customWidth="1"/>
    <col min="4" max="4" width="1.1640625" style="21" customWidth="1"/>
    <col min="5" max="16384" width="1.1640625" style="21"/>
  </cols>
  <sheetData>
    <row r="1" spans="1:2" s="2" customFormat="1" ht="25.5" customHeight="1" x14ac:dyDescent="0.15">
      <c r="A1" s="8" t="s">
        <v>17</v>
      </c>
      <c r="B1" s="9"/>
    </row>
    <row r="2" spans="1:2" customFormat="1" ht="28.5" customHeight="1" x14ac:dyDescent="0.15">
      <c r="A2" s="10" t="s">
        <v>18</v>
      </c>
      <c r="B2" s="11" t="s">
        <v>19</v>
      </c>
    </row>
    <row r="3" spans="1:2" customFormat="1" ht="49.25" customHeight="1" x14ac:dyDescent="0.15">
      <c r="A3" s="12" t="s">
        <v>20</v>
      </c>
      <c r="B3" s="13" t="s">
        <v>21</v>
      </c>
    </row>
    <row r="4" spans="1:2" customFormat="1" ht="42.75" customHeight="1" x14ac:dyDescent="0.15">
      <c r="A4" s="12" t="s">
        <v>22</v>
      </c>
      <c r="B4" s="13" t="s">
        <v>23</v>
      </c>
    </row>
    <row r="5" spans="1:2" customFormat="1" ht="46.25" customHeight="1" x14ac:dyDescent="0.15">
      <c r="A5" s="14" t="s">
        <v>24</v>
      </c>
      <c r="B5" s="15" t="s">
        <v>25</v>
      </c>
    </row>
    <row r="6" spans="1:2" customFormat="1" ht="37.5" customHeight="1" x14ac:dyDescent="0.15">
      <c r="A6" s="12" t="s">
        <v>26</v>
      </c>
      <c r="B6" s="15" t="s">
        <v>27</v>
      </c>
    </row>
    <row r="7" spans="1:2" customFormat="1" ht="47" customHeight="1" x14ac:dyDescent="0.15">
      <c r="A7" s="12" t="s">
        <v>28</v>
      </c>
      <c r="B7" s="15" t="s">
        <v>29</v>
      </c>
    </row>
    <row r="8" spans="1:2" customFormat="1" ht="39" customHeight="1" x14ac:dyDescent="0.15">
      <c r="A8" s="12" t="s">
        <v>30</v>
      </c>
      <c r="B8" s="15" t="s">
        <v>31</v>
      </c>
    </row>
    <row r="9" spans="1:2" customFormat="1" ht="52.5" customHeight="1" x14ac:dyDescent="0.15">
      <c r="A9" s="12" t="s">
        <v>32</v>
      </c>
      <c r="B9" s="15" t="s">
        <v>33</v>
      </c>
    </row>
    <row r="10" spans="1:2" customFormat="1" ht="53.25" customHeight="1" x14ac:dyDescent="0.15">
      <c r="A10" s="16" t="s">
        <v>34</v>
      </c>
      <c r="B10" s="17" t="s">
        <v>35</v>
      </c>
    </row>
    <row r="11" spans="1:2" customFormat="1" ht="18" x14ac:dyDescent="0.2">
      <c r="A11" s="7" t="s">
        <v>16</v>
      </c>
      <c r="B11" s="18"/>
    </row>
    <row r="12" spans="1:2" customFormat="1" ht="16" x14ac:dyDescent="0.2">
      <c r="A12" s="19"/>
    </row>
    <row r="13" spans="1:2" customFormat="1" ht="16" x14ac:dyDescent="0.2">
      <c r="A13" s="19"/>
    </row>
    <row r="14" spans="1:2" customFormat="1" ht="16" x14ac:dyDescent="0.2">
      <c r="A14" s="19"/>
    </row>
    <row r="15" spans="1:2" customFormat="1" ht="16" x14ac:dyDescent="0.2">
      <c r="A15" s="20"/>
    </row>
    <row r="16" spans="1:2" customFormat="1" ht="16" x14ac:dyDescent="0.2">
      <c r="A16" s="20"/>
    </row>
    <row r="17" spans="1:2" customFormat="1" ht="16" x14ac:dyDescent="0.2">
      <c r="A17" s="20"/>
    </row>
    <row r="18" spans="1:2" customFormat="1" ht="16" x14ac:dyDescent="0.2">
      <c r="A18" s="20"/>
    </row>
    <row r="19" spans="1:2" customFormat="1" ht="16" x14ac:dyDescent="0.2">
      <c r="A19" s="20"/>
    </row>
    <row r="20" spans="1:2" customFormat="1" ht="16" x14ac:dyDescent="0.2">
      <c r="A20" s="20"/>
    </row>
    <row r="21" spans="1:2" customFormat="1" ht="16" x14ac:dyDescent="0.2">
      <c r="A21" s="20"/>
    </row>
    <row r="22" spans="1:2" customFormat="1" ht="16" x14ac:dyDescent="0.2">
      <c r="A22" s="20"/>
    </row>
    <row r="23" spans="1:2" customFormat="1" ht="16" x14ac:dyDescent="0.2">
      <c r="A23" s="20"/>
    </row>
    <row r="24" spans="1:2" customFormat="1" ht="16" x14ac:dyDescent="0.2">
      <c r="A24" s="19"/>
      <c r="B24" s="20"/>
    </row>
    <row r="25" spans="1:2" customFormat="1" ht="16" x14ac:dyDescent="0.2">
      <c r="A25" s="19"/>
      <c r="B25" s="20"/>
    </row>
    <row r="26" spans="1:2" customFormat="1" ht="16" x14ac:dyDescent="0.2">
      <c r="A26" s="19"/>
      <c r="B26" s="20"/>
    </row>
    <row r="27" spans="1:2" ht="16" x14ac:dyDescent="0.2">
      <c r="A27" s="19"/>
      <c r="B27" s="19"/>
    </row>
    <row r="28" spans="1:2" ht="16" x14ac:dyDescent="0.2">
      <c r="A28" s="19"/>
      <c r="B28" s="19"/>
    </row>
    <row r="29" spans="1:2" ht="16" x14ac:dyDescent="0.2">
      <c r="A29" s="19"/>
      <c r="B29" s="19"/>
    </row>
    <row r="30" spans="1:2" ht="16" x14ac:dyDescent="0.2">
      <c r="A30" s="19"/>
      <c r="B30" s="19"/>
    </row>
    <row r="31" spans="1:2" ht="16" x14ac:dyDescent="0.2">
      <c r="A31" s="19"/>
      <c r="B31" s="19"/>
    </row>
    <row r="32" spans="1:2" ht="16" x14ac:dyDescent="0.2">
      <c r="A32" s="19"/>
      <c r="B32" s="19"/>
    </row>
    <row r="33" spans="1:2" ht="16" x14ac:dyDescent="0.2">
      <c r="A33" s="19"/>
      <c r="B33" s="19"/>
    </row>
    <row r="34" spans="1:2" ht="16" x14ac:dyDescent="0.2">
      <c r="A34" s="19"/>
      <c r="B34" s="19"/>
    </row>
    <row r="35" spans="1:2" ht="16" x14ac:dyDescent="0.2">
      <c r="A35" s="19"/>
      <c r="B35" s="19"/>
    </row>
    <row r="36" spans="1:2" ht="16" x14ac:dyDescent="0.2">
      <c r="A36" s="19"/>
      <c r="B36" s="19"/>
    </row>
    <row r="37" spans="1:2" ht="16" x14ac:dyDescent="0.2">
      <c r="A37" s="19"/>
      <c r="B37" s="19"/>
    </row>
    <row r="38" spans="1:2" ht="16" x14ac:dyDescent="0.2">
      <c r="A38" s="19"/>
      <c r="B38" s="19"/>
    </row>
    <row r="39" spans="1:2" ht="16" x14ac:dyDescent="0.2">
      <c r="A39" s="19"/>
      <c r="B39" s="19"/>
    </row>
    <row r="40" spans="1:2" ht="16" x14ac:dyDescent="0.2">
      <c r="A40" s="19"/>
      <c r="B40" s="19"/>
    </row>
    <row r="41" spans="1:2" ht="16" x14ac:dyDescent="0.2">
      <c r="A41" s="19"/>
      <c r="B41" s="19"/>
    </row>
    <row r="42" spans="1:2" ht="16" x14ac:dyDescent="0.2">
      <c r="A42" s="19"/>
      <c r="B42" s="19"/>
    </row>
    <row r="43" spans="1:2" ht="16" x14ac:dyDescent="0.2">
      <c r="A43" s="19"/>
      <c r="B43" s="19"/>
    </row>
    <row r="44" spans="1:2" ht="16" x14ac:dyDescent="0.2">
      <c r="A44" s="19"/>
      <c r="B44" s="19"/>
    </row>
    <row r="45" spans="1:2" ht="16" x14ac:dyDescent="0.2">
      <c r="A45" s="19"/>
      <c r="B45" s="19"/>
    </row>
    <row r="46" spans="1:2" x14ac:dyDescent="0.15">
      <c r="A46" s="22"/>
      <c r="B46" s="22"/>
    </row>
    <row r="47" spans="1:2" x14ac:dyDescent="0.15">
      <c r="A47" s="22"/>
      <c r="B47" s="22"/>
    </row>
  </sheetData>
  <hyperlinks>
    <hyperlink ref="A3" location="'9_4_ISA_subscriptions'!A1" display="9.4 ISA_subscriptions" xr:uid="{00000000-0004-0000-0100-000000000000}"/>
    <hyperlink ref="A4" location="'9_6_ISA_market_values'!A1" display="9.6 ISA_market_values" xr:uid="{00000000-0004-0000-0100-000001000000}"/>
    <hyperlink ref="A5" location="'9_7_ISA_subs_by_income'!A1" display="9.7_ISA_subs_by_income" xr:uid="{00000000-0004-0000-0100-000002000000}"/>
    <hyperlink ref="A6" location="'9_8_ISA_subs_by_age_sex'!A1" display="9.8 ISA_subs_by_age_sex" xr:uid="{00000000-0004-0000-0100-000003000000}"/>
    <hyperlink ref="A7" location="'9_9_ISA_subs_by_country_region'!A1" display="9.9 ISA_subs_by_country_region" xr:uid="{00000000-0004-0000-0100-000004000000}"/>
    <hyperlink ref="A8" location="'9_10_ISA_market_values_income'!A1" display="9.10 ISA_market_values_by_income" xr:uid="{00000000-0004-0000-0100-000005000000}"/>
    <hyperlink ref="A9" location="'9_11ISA_market_value_by_age_sex'!A1" display="9.11 ISA_market_values_by_age_sex" xr:uid="{00000000-0004-0000-0100-000006000000}"/>
    <hyperlink ref="A10" location="'9_12ISA_market_values_by_region'!A1" display="9.12 ISA_market_values_by_region" xr:uid="{00000000-0004-0000-0100-000007000000}"/>
  </hyperlinks>
  <pageMargins left="0.70000000000000007" right="0.70000000000000007" top="0.75" bottom="0.75" header="0.30000000000000004" footer="0.30000000000000004"/>
  <pageSetup paperSize="0" fitToWidth="0" fitToHeight="0" orientation="portrait" horizontalDpi="0" verticalDpi="0" copies="0"/>
  <headerFooter>
    <oddFooter>&amp;C&amp;1#&amp;"Calibri,Regular"&amp;10OFFICIAL</oddFooter>
  </headerFooter>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50"/>
  <sheetViews>
    <sheetView topLeftCell="A24" workbookViewId="0"/>
  </sheetViews>
  <sheetFormatPr baseColWidth="10" defaultColWidth="22.6640625" defaultRowHeight="13" x14ac:dyDescent="0.15"/>
  <cols>
    <col min="1" max="1" width="56" style="52" customWidth="1"/>
    <col min="2" max="17" width="18.83203125" style="52" customWidth="1"/>
    <col min="18" max="18" width="22.6640625" style="52" customWidth="1"/>
    <col min="19" max="16384" width="22.6640625" style="52"/>
  </cols>
  <sheetData>
    <row r="1" spans="1:20" s="27" customFormat="1" ht="31" x14ac:dyDescent="0.35">
      <c r="A1" s="23" t="s">
        <v>36</v>
      </c>
      <c r="B1" s="23"/>
      <c r="C1" s="24"/>
      <c r="D1" s="25"/>
      <c r="E1" s="25"/>
      <c r="F1" s="25"/>
      <c r="G1" s="26"/>
      <c r="H1" s="26"/>
      <c r="I1" s="25"/>
      <c r="J1" s="25"/>
      <c r="L1" s="28"/>
    </row>
    <row r="2" spans="1:20" s="31" customFormat="1" ht="16" x14ac:dyDescent="0.15">
      <c r="A2" s="29" t="s">
        <v>37</v>
      </c>
      <c r="B2" s="30"/>
      <c r="C2" s="29"/>
      <c r="D2" s="29"/>
      <c r="E2" s="29"/>
      <c r="F2" s="29"/>
      <c r="G2" s="29"/>
      <c r="H2" s="29"/>
      <c r="I2" s="29"/>
      <c r="J2" s="29"/>
      <c r="K2" s="29"/>
      <c r="L2" s="29"/>
      <c r="M2" s="29"/>
      <c r="N2" s="29"/>
      <c r="O2" s="29"/>
      <c r="P2" s="29"/>
      <c r="Q2" s="29"/>
      <c r="R2" s="29"/>
      <c r="S2" s="29"/>
      <c r="T2" s="29"/>
    </row>
    <row r="3" spans="1:20" s="31" customFormat="1" ht="16" x14ac:dyDescent="0.15">
      <c r="A3" s="29" t="s">
        <v>38</v>
      </c>
      <c r="B3" s="29"/>
      <c r="C3" s="29"/>
      <c r="D3" s="29"/>
      <c r="E3" s="29"/>
      <c r="F3" s="29"/>
      <c r="G3" s="29"/>
      <c r="H3" s="29"/>
      <c r="I3" s="29"/>
      <c r="J3" s="29"/>
      <c r="K3" s="29"/>
      <c r="L3" s="29"/>
      <c r="M3" s="29"/>
      <c r="N3" s="29"/>
      <c r="O3" s="29"/>
      <c r="P3" s="29"/>
      <c r="Q3" s="29"/>
      <c r="R3" s="29"/>
      <c r="S3" s="29"/>
      <c r="T3" s="29"/>
    </row>
    <row r="4" spans="1:20" s="31" customFormat="1" ht="16" x14ac:dyDescent="0.15">
      <c r="A4" s="32" t="s">
        <v>39</v>
      </c>
      <c r="B4" s="29"/>
      <c r="C4" s="29"/>
      <c r="D4" s="33"/>
      <c r="E4" s="33"/>
      <c r="F4" s="29"/>
      <c r="G4" s="29"/>
      <c r="H4" s="29"/>
      <c r="I4" s="29"/>
      <c r="J4" s="34"/>
      <c r="K4" s="34"/>
      <c r="L4" s="34"/>
      <c r="M4" s="34"/>
      <c r="N4" s="34"/>
      <c r="O4" s="34"/>
      <c r="P4" s="34"/>
      <c r="Q4" s="34"/>
      <c r="R4" s="34"/>
      <c r="S4" s="34"/>
      <c r="T4" s="34"/>
    </row>
    <row r="5" spans="1:20" s="31" customFormat="1" ht="16" x14ac:dyDescent="0.15">
      <c r="A5" s="29" t="s">
        <v>40</v>
      </c>
      <c r="B5" s="29"/>
      <c r="C5" s="29"/>
      <c r="D5" s="29"/>
      <c r="E5" s="29"/>
      <c r="F5" s="29"/>
      <c r="G5" s="29"/>
      <c r="H5" s="29"/>
      <c r="I5" s="29"/>
      <c r="J5" s="34"/>
      <c r="K5" s="34"/>
      <c r="L5" s="34"/>
      <c r="M5" s="34"/>
      <c r="N5" s="34"/>
      <c r="O5" s="34"/>
      <c r="P5" s="34"/>
      <c r="Q5" s="34"/>
      <c r="R5" s="34"/>
      <c r="S5" s="34"/>
      <c r="T5" s="34"/>
    </row>
    <row r="6" spans="1:20" s="31" customFormat="1" ht="16" x14ac:dyDescent="0.15">
      <c r="A6" s="35" t="s">
        <v>41</v>
      </c>
      <c r="B6" s="29"/>
      <c r="C6" s="29"/>
      <c r="D6" s="29"/>
      <c r="E6" s="29"/>
      <c r="F6" s="29"/>
      <c r="G6" s="29"/>
      <c r="H6" s="29"/>
      <c r="I6" s="29"/>
      <c r="J6" s="34"/>
      <c r="K6" s="34"/>
      <c r="L6" s="34"/>
      <c r="M6" s="34"/>
      <c r="N6" s="34"/>
      <c r="O6" s="34"/>
      <c r="P6" s="34"/>
      <c r="Q6" s="34"/>
      <c r="R6" s="34"/>
      <c r="S6" s="34"/>
      <c r="T6" s="34"/>
    </row>
    <row r="7" spans="1:20" s="31" customFormat="1" ht="16" x14ac:dyDescent="0.15">
      <c r="A7" s="35" t="s">
        <v>42</v>
      </c>
      <c r="B7" s="29"/>
      <c r="C7" s="29"/>
      <c r="D7" s="29"/>
      <c r="E7" s="29"/>
      <c r="F7" s="29"/>
      <c r="G7" s="29"/>
      <c r="H7" s="29"/>
      <c r="I7" s="29"/>
      <c r="J7" s="34"/>
      <c r="K7" s="34"/>
      <c r="L7" s="34"/>
      <c r="M7" s="34"/>
      <c r="N7" s="34"/>
      <c r="O7" s="34"/>
      <c r="P7" s="34"/>
      <c r="Q7" s="34"/>
      <c r="R7" s="34"/>
      <c r="S7" s="34"/>
      <c r="T7" s="34"/>
    </row>
    <row r="8" spans="1:20" s="31" customFormat="1" ht="18" x14ac:dyDescent="0.15">
      <c r="A8" s="36" t="s">
        <v>43</v>
      </c>
      <c r="B8" s="37"/>
      <c r="C8" s="37"/>
      <c r="D8" s="37"/>
      <c r="E8" s="37"/>
      <c r="F8" s="37"/>
      <c r="G8" s="37"/>
      <c r="H8" s="37"/>
      <c r="I8" s="37"/>
      <c r="J8" s="37"/>
      <c r="K8" s="37"/>
      <c r="L8" s="37"/>
      <c r="M8" s="37"/>
      <c r="N8" s="38"/>
      <c r="O8" s="38"/>
      <c r="P8" s="38"/>
      <c r="Q8" s="38"/>
      <c r="R8" s="38"/>
      <c r="S8" s="38"/>
      <c r="T8" s="38"/>
    </row>
    <row r="9" spans="1:20" s="43" customFormat="1" ht="34" x14ac:dyDescent="0.2">
      <c r="A9" s="39" t="s">
        <v>44</v>
      </c>
      <c r="B9" s="40" t="s">
        <v>45</v>
      </c>
      <c r="C9" s="40" t="s">
        <v>46</v>
      </c>
      <c r="D9" s="40" t="s">
        <v>47</v>
      </c>
      <c r="E9" s="40" t="s">
        <v>48</v>
      </c>
      <c r="F9" s="40" t="s">
        <v>49</v>
      </c>
      <c r="G9" s="40" t="s">
        <v>50</v>
      </c>
      <c r="H9" s="40" t="s">
        <v>51</v>
      </c>
      <c r="I9" s="40" t="s">
        <v>52</v>
      </c>
      <c r="J9" s="40" t="s">
        <v>53</v>
      </c>
      <c r="K9" s="40" t="s">
        <v>54</v>
      </c>
      <c r="L9" s="40" t="s">
        <v>55</v>
      </c>
      <c r="M9" s="41" t="s">
        <v>56</v>
      </c>
      <c r="N9" s="41" t="s">
        <v>57</v>
      </c>
      <c r="O9" s="41" t="s">
        <v>58</v>
      </c>
      <c r="P9" s="41" t="s">
        <v>59</v>
      </c>
      <c r="Q9" s="41" t="s">
        <v>60</v>
      </c>
      <c r="R9" s="42"/>
      <c r="S9" s="42"/>
      <c r="T9" s="42"/>
    </row>
    <row r="10" spans="1:20" s="42" customFormat="1" ht="17" x14ac:dyDescent="0.2">
      <c r="A10" s="39" t="s">
        <v>61</v>
      </c>
      <c r="B10" s="44">
        <v>12234</v>
      </c>
      <c r="C10" s="44">
        <v>11426</v>
      </c>
      <c r="D10" s="44">
        <v>11859</v>
      </c>
      <c r="E10" s="44">
        <v>11187</v>
      </c>
      <c r="F10" s="44">
        <v>11682</v>
      </c>
      <c r="G10" s="44">
        <v>10481</v>
      </c>
      <c r="H10" s="44">
        <v>10288</v>
      </c>
      <c r="I10" s="44">
        <v>10118</v>
      </c>
      <c r="J10" s="44">
        <v>8480</v>
      </c>
      <c r="K10" s="44">
        <v>7018</v>
      </c>
      <c r="L10" s="44">
        <v>8476</v>
      </c>
      <c r="M10" s="44">
        <v>9703</v>
      </c>
      <c r="N10" s="44">
        <v>8059</v>
      </c>
      <c r="O10" s="44">
        <v>7139</v>
      </c>
      <c r="P10" s="44">
        <v>7861</v>
      </c>
      <c r="Q10" s="44">
        <v>9939</v>
      </c>
      <c r="R10" s="43"/>
      <c r="S10" s="43"/>
      <c r="T10" s="43"/>
    </row>
    <row r="11" spans="1:20" s="43" customFormat="1" ht="17" x14ac:dyDescent="0.2">
      <c r="A11" s="39" t="s">
        <v>62</v>
      </c>
      <c r="B11" s="44">
        <v>2960</v>
      </c>
      <c r="C11" s="44">
        <v>3011</v>
      </c>
      <c r="D11" s="44">
        <v>3387</v>
      </c>
      <c r="E11" s="44">
        <v>2863</v>
      </c>
      <c r="F11" s="44">
        <v>2924</v>
      </c>
      <c r="G11" s="44">
        <v>2992</v>
      </c>
      <c r="H11" s="44">
        <v>2711</v>
      </c>
      <c r="I11" s="44">
        <v>2539</v>
      </c>
      <c r="J11" s="44">
        <v>2589</v>
      </c>
      <c r="K11" s="44">
        <v>2869</v>
      </c>
      <c r="L11" s="44">
        <v>2424</v>
      </c>
      <c r="M11" s="44">
        <v>2727</v>
      </c>
      <c r="N11" s="44">
        <v>3589</v>
      </c>
      <c r="O11" s="44">
        <v>3934</v>
      </c>
      <c r="P11" s="44">
        <v>3808</v>
      </c>
      <c r="Q11" s="44">
        <v>4091</v>
      </c>
    </row>
    <row r="12" spans="1:20" s="43" customFormat="1" ht="17" x14ac:dyDescent="0.2">
      <c r="A12" s="39" t="s">
        <v>63</v>
      </c>
      <c r="B12" s="44" t="s">
        <v>64</v>
      </c>
      <c r="C12" s="44" t="s">
        <v>64</v>
      </c>
      <c r="D12" s="44" t="s">
        <v>64</v>
      </c>
      <c r="E12" s="44" t="s">
        <v>64</v>
      </c>
      <c r="F12" s="44" t="s">
        <v>64</v>
      </c>
      <c r="G12" s="44" t="s">
        <v>64</v>
      </c>
      <c r="H12" s="44" t="s">
        <v>64</v>
      </c>
      <c r="I12" s="44" t="s">
        <v>64</v>
      </c>
      <c r="J12" s="44">
        <v>5</v>
      </c>
      <c r="K12" s="44">
        <v>49</v>
      </c>
      <c r="L12" s="44">
        <v>38</v>
      </c>
      <c r="M12" s="44">
        <v>34</v>
      </c>
      <c r="N12" s="44">
        <v>16</v>
      </c>
      <c r="O12" s="44">
        <v>17</v>
      </c>
      <c r="P12" s="44">
        <v>17</v>
      </c>
      <c r="Q12" s="44">
        <v>13</v>
      </c>
    </row>
    <row r="13" spans="1:20" s="43" customFormat="1" ht="17" x14ac:dyDescent="0.2">
      <c r="A13" s="39" t="s">
        <v>65</v>
      </c>
      <c r="B13" s="44" t="s">
        <v>64</v>
      </c>
      <c r="C13" s="44" t="s">
        <v>64</v>
      </c>
      <c r="D13" s="44" t="s">
        <v>64</v>
      </c>
      <c r="E13" s="44" t="s">
        <v>64</v>
      </c>
      <c r="F13" s="44" t="s">
        <v>64</v>
      </c>
      <c r="G13" s="44" t="s">
        <v>64</v>
      </c>
      <c r="H13" s="44" t="s">
        <v>64</v>
      </c>
      <c r="I13" s="44" t="s">
        <v>64</v>
      </c>
      <c r="J13" s="44" t="s">
        <v>64</v>
      </c>
      <c r="K13" s="44">
        <v>154</v>
      </c>
      <c r="L13" s="44">
        <v>223</v>
      </c>
      <c r="M13" s="44">
        <v>545</v>
      </c>
      <c r="N13" s="44">
        <v>553</v>
      </c>
      <c r="O13" s="44">
        <v>662</v>
      </c>
      <c r="P13" s="44">
        <v>755</v>
      </c>
      <c r="Q13" s="44">
        <v>964</v>
      </c>
    </row>
    <row r="14" spans="1:20" s="43" customFormat="1" ht="17" x14ac:dyDescent="0.2">
      <c r="A14" s="39" t="s">
        <v>66</v>
      </c>
      <c r="B14" s="44">
        <v>15194</v>
      </c>
      <c r="C14" s="44">
        <v>14437</v>
      </c>
      <c r="D14" s="44">
        <v>15246</v>
      </c>
      <c r="E14" s="44">
        <v>14049</v>
      </c>
      <c r="F14" s="44">
        <v>14606</v>
      </c>
      <c r="G14" s="44">
        <v>13473</v>
      </c>
      <c r="H14" s="44">
        <v>12999</v>
      </c>
      <c r="I14" s="44">
        <v>12657</v>
      </c>
      <c r="J14" s="44">
        <v>11074</v>
      </c>
      <c r="K14" s="44">
        <v>10090</v>
      </c>
      <c r="L14" s="44">
        <v>11161</v>
      </c>
      <c r="M14" s="44">
        <v>13009</v>
      </c>
      <c r="N14" s="44">
        <v>12217</v>
      </c>
      <c r="O14" s="44">
        <v>11752</v>
      </c>
      <c r="P14" s="44">
        <v>12441</v>
      </c>
      <c r="Q14" s="44">
        <v>15008</v>
      </c>
    </row>
    <row r="15" spans="1:20" s="43" customFormat="1" ht="17" x14ac:dyDescent="0.2">
      <c r="A15" s="39" t="s">
        <v>67</v>
      </c>
      <c r="B15" s="44">
        <v>175</v>
      </c>
      <c r="C15" s="44">
        <v>148</v>
      </c>
      <c r="D15" s="44">
        <v>139</v>
      </c>
      <c r="E15" s="44">
        <v>116</v>
      </c>
      <c r="F15" s="44">
        <v>112</v>
      </c>
      <c r="G15" s="44">
        <v>119</v>
      </c>
      <c r="H15" s="44">
        <v>123</v>
      </c>
      <c r="I15" s="44">
        <v>140</v>
      </c>
      <c r="J15" s="44">
        <v>145</v>
      </c>
      <c r="K15" s="44">
        <v>155</v>
      </c>
      <c r="L15" s="44">
        <v>165</v>
      </c>
      <c r="M15" s="44">
        <v>177</v>
      </c>
      <c r="N15" s="44">
        <v>143</v>
      </c>
      <c r="O15" s="44">
        <v>184</v>
      </c>
      <c r="P15" s="44">
        <v>167</v>
      </c>
      <c r="Q15" s="44">
        <v>164</v>
      </c>
      <c r="R15" s="45"/>
      <c r="S15" s="45"/>
      <c r="T15" s="45"/>
    </row>
    <row r="16" spans="1:20" s="43" customFormat="1" ht="34" x14ac:dyDescent="0.2">
      <c r="A16" s="4" t="s">
        <v>68</v>
      </c>
      <c r="B16" s="40" t="s">
        <v>45</v>
      </c>
      <c r="C16" s="40" t="s">
        <v>46</v>
      </c>
      <c r="D16" s="40" t="s">
        <v>47</v>
      </c>
      <c r="E16" s="40" t="s">
        <v>48</v>
      </c>
      <c r="F16" s="40" t="s">
        <v>49</v>
      </c>
      <c r="G16" s="40" t="s">
        <v>50</v>
      </c>
      <c r="H16" s="40" t="s">
        <v>51</v>
      </c>
      <c r="I16" s="40" t="s">
        <v>52</v>
      </c>
      <c r="J16" s="40" t="s">
        <v>53</v>
      </c>
      <c r="K16" s="40" t="s">
        <v>54</v>
      </c>
      <c r="L16" s="40" t="s">
        <v>55</v>
      </c>
      <c r="M16" s="41" t="s">
        <v>56</v>
      </c>
      <c r="N16" s="41" t="s">
        <v>57</v>
      </c>
      <c r="O16" s="41" t="s">
        <v>58</v>
      </c>
      <c r="P16" s="41" t="s">
        <v>59</v>
      </c>
      <c r="Q16" s="41" t="s">
        <v>60</v>
      </c>
    </row>
    <row r="17" spans="1:34" s="46" customFormat="1" ht="17" x14ac:dyDescent="0.2">
      <c r="A17" s="39" t="s">
        <v>61</v>
      </c>
      <c r="B17" s="44">
        <v>30383</v>
      </c>
      <c r="C17" s="44">
        <v>31437</v>
      </c>
      <c r="D17" s="44">
        <v>38197</v>
      </c>
      <c r="E17" s="44">
        <v>37222</v>
      </c>
      <c r="F17" s="44">
        <v>40901</v>
      </c>
      <c r="G17" s="44">
        <v>38821</v>
      </c>
      <c r="H17" s="44">
        <v>60951</v>
      </c>
      <c r="I17" s="44">
        <v>58694</v>
      </c>
      <c r="J17" s="44">
        <v>39191</v>
      </c>
      <c r="K17" s="44">
        <v>36689</v>
      </c>
      <c r="L17" s="44">
        <v>43966</v>
      </c>
      <c r="M17" s="44">
        <v>48745</v>
      </c>
      <c r="N17" s="44">
        <v>36815</v>
      </c>
      <c r="O17" s="44">
        <v>30908</v>
      </c>
      <c r="P17" s="44">
        <v>41627</v>
      </c>
      <c r="Q17" s="44">
        <v>69498</v>
      </c>
      <c r="R17" s="43"/>
      <c r="S17" s="43"/>
      <c r="T17" s="43"/>
    </row>
    <row r="18" spans="1:34" s="43" customFormat="1" ht="17" x14ac:dyDescent="0.2">
      <c r="A18" s="39" t="s">
        <v>62</v>
      </c>
      <c r="B18" s="44">
        <v>9711</v>
      </c>
      <c r="C18" s="44">
        <v>12542</v>
      </c>
      <c r="D18" s="44">
        <v>15515</v>
      </c>
      <c r="E18" s="44">
        <v>15546</v>
      </c>
      <c r="F18" s="44">
        <v>16459</v>
      </c>
      <c r="G18" s="44">
        <v>18439</v>
      </c>
      <c r="H18" s="44">
        <v>22288</v>
      </c>
      <c r="I18" s="44">
        <v>21129</v>
      </c>
      <c r="J18" s="44">
        <v>22325</v>
      </c>
      <c r="K18" s="44">
        <v>27786</v>
      </c>
      <c r="L18" s="44">
        <v>22618</v>
      </c>
      <c r="M18" s="44">
        <v>24202</v>
      </c>
      <c r="N18" s="44">
        <v>33853</v>
      </c>
      <c r="O18" s="44">
        <v>34187</v>
      </c>
      <c r="P18" s="44">
        <v>28012</v>
      </c>
      <c r="Q18" s="44">
        <v>31070</v>
      </c>
    </row>
    <row r="19" spans="1:34" s="43" customFormat="1" ht="17" x14ac:dyDescent="0.2">
      <c r="A19" s="39" t="s">
        <v>63</v>
      </c>
      <c r="B19" s="44" t="s">
        <v>64</v>
      </c>
      <c r="C19" s="44" t="s">
        <v>64</v>
      </c>
      <c r="D19" s="44" t="s">
        <v>64</v>
      </c>
      <c r="E19" s="44" t="s">
        <v>64</v>
      </c>
      <c r="F19" s="44" t="s">
        <v>64</v>
      </c>
      <c r="G19" s="44" t="s">
        <v>64</v>
      </c>
      <c r="H19" s="44" t="s">
        <v>64</v>
      </c>
      <c r="I19" s="44" t="s">
        <v>64</v>
      </c>
      <c r="J19" s="44">
        <v>36</v>
      </c>
      <c r="K19" s="44">
        <v>277</v>
      </c>
      <c r="L19" s="44">
        <v>328</v>
      </c>
      <c r="M19" s="44">
        <v>438</v>
      </c>
      <c r="N19" s="44">
        <v>92</v>
      </c>
      <c r="O19" s="44">
        <v>144</v>
      </c>
      <c r="P19" s="44">
        <v>115</v>
      </c>
      <c r="Q19" s="44">
        <v>81</v>
      </c>
    </row>
    <row r="20" spans="1:34" s="43" customFormat="1" ht="17" x14ac:dyDescent="0.2">
      <c r="A20" s="39" t="s">
        <v>65</v>
      </c>
      <c r="B20" s="44" t="s">
        <v>64</v>
      </c>
      <c r="C20" s="44" t="s">
        <v>64</v>
      </c>
      <c r="D20" s="44" t="s">
        <v>64</v>
      </c>
      <c r="E20" s="44" t="s">
        <v>64</v>
      </c>
      <c r="F20" s="44" t="s">
        <v>64</v>
      </c>
      <c r="G20" s="44" t="s">
        <v>64</v>
      </c>
      <c r="H20" s="44" t="s">
        <v>64</v>
      </c>
      <c r="I20" s="44" t="s">
        <v>64</v>
      </c>
      <c r="J20" s="44" t="s">
        <v>64</v>
      </c>
      <c r="K20" s="44">
        <v>486</v>
      </c>
      <c r="L20" s="44">
        <v>604</v>
      </c>
      <c r="M20" s="44">
        <v>1255</v>
      </c>
      <c r="N20" s="44">
        <v>1482</v>
      </c>
      <c r="O20" s="44">
        <v>1700</v>
      </c>
      <c r="P20" s="44">
        <v>1872</v>
      </c>
      <c r="Q20" s="44">
        <v>2346</v>
      </c>
    </row>
    <row r="21" spans="1:34" s="43" customFormat="1" ht="17" x14ac:dyDescent="0.2">
      <c r="A21" s="39" t="s">
        <v>66</v>
      </c>
      <c r="B21" s="44">
        <v>40094</v>
      </c>
      <c r="C21" s="44">
        <v>43978</v>
      </c>
      <c r="D21" s="44">
        <v>53712</v>
      </c>
      <c r="E21" s="44">
        <v>52768</v>
      </c>
      <c r="F21" s="44">
        <v>57359</v>
      </c>
      <c r="G21" s="44">
        <v>57260</v>
      </c>
      <c r="H21" s="44">
        <v>83239</v>
      </c>
      <c r="I21" s="44">
        <v>79823</v>
      </c>
      <c r="J21" s="44">
        <v>61552</v>
      </c>
      <c r="K21" s="44">
        <v>65238</v>
      </c>
      <c r="L21" s="44">
        <v>67516</v>
      </c>
      <c r="M21" s="44">
        <v>74640</v>
      </c>
      <c r="N21" s="44">
        <v>72243</v>
      </c>
      <c r="O21" s="44">
        <v>66939</v>
      </c>
      <c r="P21" s="44">
        <v>71625</v>
      </c>
      <c r="Q21" s="44">
        <v>102995</v>
      </c>
    </row>
    <row r="22" spans="1:34" s="43" customFormat="1" ht="17" x14ac:dyDescent="0.2">
      <c r="A22" s="39" t="s">
        <v>69</v>
      </c>
      <c r="B22" s="44">
        <v>117</v>
      </c>
      <c r="C22" s="44">
        <v>130</v>
      </c>
      <c r="D22" s="44">
        <v>153</v>
      </c>
      <c r="E22" s="44">
        <v>171</v>
      </c>
      <c r="F22" s="44">
        <v>184</v>
      </c>
      <c r="G22" s="44">
        <v>242</v>
      </c>
      <c r="H22" s="44">
        <v>302</v>
      </c>
      <c r="I22" s="44">
        <v>634</v>
      </c>
      <c r="J22" s="44">
        <v>693</v>
      </c>
      <c r="K22" s="44">
        <v>984</v>
      </c>
      <c r="L22" s="44">
        <v>846</v>
      </c>
      <c r="M22" s="44">
        <v>795</v>
      </c>
      <c r="N22" s="44">
        <v>518</v>
      </c>
      <c r="O22" s="44">
        <v>698</v>
      </c>
      <c r="P22" s="44">
        <v>905</v>
      </c>
      <c r="Q22" s="44">
        <v>1059</v>
      </c>
    </row>
    <row r="23" spans="1:34" s="43" customFormat="1" ht="34" x14ac:dyDescent="0.2">
      <c r="A23" s="39" t="s">
        <v>70</v>
      </c>
      <c r="B23" s="40" t="s">
        <v>45</v>
      </c>
      <c r="C23" s="40" t="s">
        <v>46</v>
      </c>
      <c r="D23" s="40" t="s">
        <v>47</v>
      </c>
      <c r="E23" s="40" t="s">
        <v>48</v>
      </c>
      <c r="F23" s="40" t="s">
        <v>49</v>
      </c>
      <c r="G23" s="40" t="s">
        <v>50</v>
      </c>
      <c r="H23" s="40" t="s">
        <v>51</v>
      </c>
      <c r="I23" s="40" t="s">
        <v>52</v>
      </c>
      <c r="J23" s="40" t="s">
        <v>53</v>
      </c>
      <c r="K23" s="40" t="s">
        <v>54</v>
      </c>
      <c r="L23" s="40" t="s">
        <v>55</v>
      </c>
      <c r="M23" s="41" t="s">
        <v>56</v>
      </c>
      <c r="N23" s="41" t="s">
        <v>57</v>
      </c>
      <c r="O23" s="41" t="s">
        <v>58</v>
      </c>
      <c r="P23" s="41" t="s">
        <v>59</v>
      </c>
      <c r="Q23" s="41" t="s">
        <v>60</v>
      </c>
    </row>
    <row r="24" spans="1:34" s="43" customFormat="1" ht="17" x14ac:dyDescent="0.2">
      <c r="A24" s="39" t="s">
        <v>61</v>
      </c>
      <c r="B24" s="44">
        <v>2483</v>
      </c>
      <c r="C24" s="44">
        <v>2751</v>
      </c>
      <c r="D24" s="44">
        <v>3220.9384999898812</v>
      </c>
      <c r="E24" s="44">
        <v>3327.3187966671821</v>
      </c>
      <c r="F24" s="44">
        <v>3501.2272530425166</v>
      </c>
      <c r="G24" s="44">
        <v>3704</v>
      </c>
      <c r="H24" s="44">
        <v>5924</v>
      </c>
      <c r="I24" s="44">
        <v>5801</v>
      </c>
      <c r="J24" s="44">
        <v>4622</v>
      </c>
      <c r="K24" s="44">
        <v>5228</v>
      </c>
      <c r="L24" s="44">
        <v>5187</v>
      </c>
      <c r="M24" s="44">
        <v>5024</v>
      </c>
      <c r="N24" s="44">
        <v>4568</v>
      </c>
      <c r="O24" s="44">
        <v>4330</v>
      </c>
      <c r="P24" s="44">
        <v>5296</v>
      </c>
      <c r="Q24" s="44">
        <v>6993</v>
      </c>
    </row>
    <row r="25" spans="1:34" s="43" customFormat="1" ht="17" x14ac:dyDescent="0.2">
      <c r="A25" s="39" t="s">
        <v>62</v>
      </c>
      <c r="B25" s="44">
        <v>3281</v>
      </c>
      <c r="C25" s="44">
        <v>4165</v>
      </c>
      <c r="D25" s="44">
        <v>4580.5569122240995</v>
      </c>
      <c r="E25" s="44">
        <v>5430.744323979703</v>
      </c>
      <c r="F25" s="44">
        <v>5628.998899415541</v>
      </c>
      <c r="G25" s="44">
        <v>6163</v>
      </c>
      <c r="H25" s="44">
        <v>8221</v>
      </c>
      <c r="I25" s="44">
        <v>8322</v>
      </c>
      <c r="J25" s="44">
        <v>8623</v>
      </c>
      <c r="K25" s="44">
        <v>9685</v>
      </c>
      <c r="L25" s="44">
        <v>9331</v>
      </c>
      <c r="M25" s="44">
        <v>8875</v>
      </c>
      <c r="N25" s="44">
        <v>9432</v>
      </c>
      <c r="O25" s="44">
        <v>8690</v>
      </c>
      <c r="P25" s="44">
        <v>7355</v>
      </c>
      <c r="Q25" s="44">
        <v>7594</v>
      </c>
    </row>
    <row r="26" spans="1:34" s="43" customFormat="1" ht="17" x14ac:dyDescent="0.2">
      <c r="A26" s="39" t="s">
        <v>63</v>
      </c>
      <c r="B26" s="44" t="s">
        <v>64</v>
      </c>
      <c r="C26" s="44" t="s">
        <v>64</v>
      </c>
      <c r="D26" s="44" t="s">
        <v>64</v>
      </c>
      <c r="E26" s="44" t="s">
        <v>64</v>
      </c>
      <c r="F26" s="44" t="s">
        <v>64</v>
      </c>
      <c r="G26" s="44" t="s">
        <v>64</v>
      </c>
      <c r="H26" s="44" t="s">
        <v>64</v>
      </c>
      <c r="I26" s="44" t="s">
        <v>64</v>
      </c>
      <c r="J26" s="44">
        <v>7200</v>
      </c>
      <c r="K26" s="44">
        <v>5653</v>
      </c>
      <c r="L26" s="44">
        <v>8632</v>
      </c>
      <c r="M26" s="44">
        <v>12882</v>
      </c>
      <c r="N26" s="44">
        <v>5750</v>
      </c>
      <c r="O26" s="44">
        <v>8520</v>
      </c>
      <c r="P26" s="44">
        <v>6906</v>
      </c>
      <c r="Q26" s="44">
        <v>5968</v>
      </c>
    </row>
    <row r="27" spans="1:34" s="43" customFormat="1" ht="17" x14ac:dyDescent="0.2">
      <c r="A27" s="39" t="s">
        <v>65</v>
      </c>
      <c r="B27" s="44" t="s">
        <v>64</v>
      </c>
      <c r="C27" s="44" t="s">
        <v>64</v>
      </c>
      <c r="D27" s="44" t="s">
        <v>64</v>
      </c>
      <c r="E27" s="44" t="s">
        <v>64</v>
      </c>
      <c r="F27" s="44" t="s">
        <v>64</v>
      </c>
      <c r="G27" s="44" t="s">
        <v>64</v>
      </c>
      <c r="H27" s="44" t="s">
        <v>64</v>
      </c>
      <c r="I27" s="44" t="s">
        <v>64</v>
      </c>
      <c r="J27" s="44" t="s">
        <v>64</v>
      </c>
      <c r="K27" s="44">
        <v>3156</v>
      </c>
      <c r="L27" s="44">
        <v>2709</v>
      </c>
      <c r="M27" s="44">
        <v>2303</v>
      </c>
      <c r="N27" s="44">
        <v>2680</v>
      </c>
      <c r="O27" s="44">
        <v>2566</v>
      </c>
      <c r="P27" s="44">
        <v>2478</v>
      </c>
      <c r="Q27" s="44">
        <v>2433</v>
      </c>
    </row>
    <row r="28" spans="1:34" s="43" customFormat="1" ht="17" x14ac:dyDescent="0.2">
      <c r="A28" s="39" t="s">
        <v>66</v>
      </c>
      <c r="B28" s="44">
        <v>2638.8047913650125</v>
      </c>
      <c r="C28" s="44">
        <v>3046.200734224562</v>
      </c>
      <c r="D28" s="44">
        <v>3522.9938720041255</v>
      </c>
      <c r="E28" s="44">
        <v>3755.8840440429894</v>
      </c>
      <c r="F28" s="44">
        <v>3927.1820574896478</v>
      </c>
      <c r="G28" s="44">
        <v>4250</v>
      </c>
      <c r="H28" s="44">
        <v>6403</v>
      </c>
      <c r="I28" s="44">
        <v>6307</v>
      </c>
      <c r="J28" s="44">
        <v>5558</v>
      </c>
      <c r="K28" s="44">
        <v>6466</v>
      </c>
      <c r="L28" s="44">
        <v>6049</v>
      </c>
      <c r="M28" s="44">
        <v>5738</v>
      </c>
      <c r="N28" s="44">
        <v>5913</v>
      </c>
      <c r="O28" s="44">
        <v>5696</v>
      </c>
      <c r="P28" s="44">
        <v>5757</v>
      </c>
      <c r="Q28" s="44">
        <v>6863</v>
      </c>
    </row>
    <row r="29" spans="1:34" s="43" customFormat="1" ht="17" x14ac:dyDescent="0.2">
      <c r="A29" s="39" t="s">
        <v>69</v>
      </c>
      <c r="B29" s="47">
        <v>666</v>
      </c>
      <c r="C29" s="44">
        <v>877</v>
      </c>
      <c r="D29" s="44">
        <v>1098.682304964794</v>
      </c>
      <c r="E29" s="44">
        <v>1477.2665092095133</v>
      </c>
      <c r="F29" s="44">
        <v>1639.2513850848002</v>
      </c>
      <c r="G29" s="44">
        <v>2034</v>
      </c>
      <c r="H29" s="44">
        <v>2455</v>
      </c>
      <c r="I29" s="44">
        <v>4529</v>
      </c>
      <c r="J29" s="44">
        <v>4779</v>
      </c>
      <c r="K29" s="44">
        <v>6348</v>
      </c>
      <c r="L29" s="44">
        <v>5127</v>
      </c>
      <c r="M29" s="44">
        <v>4492</v>
      </c>
      <c r="N29" s="44">
        <v>3622</v>
      </c>
      <c r="O29" s="48">
        <v>3788</v>
      </c>
      <c r="P29" s="48">
        <v>5430</v>
      </c>
      <c r="Q29" s="48">
        <v>6467</v>
      </c>
    </row>
    <row r="30" spans="1:34" s="31" customFormat="1" ht="18" x14ac:dyDescent="0.2">
      <c r="A30" s="49" t="s">
        <v>71</v>
      </c>
      <c r="B30" s="50"/>
      <c r="C30" s="50"/>
      <c r="D30" s="50"/>
      <c r="E30" s="50"/>
      <c r="F30" s="50"/>
      <c r="G30" s="50"/>
      <c r="H30" s="50"/>
      <c r="I30" s="50"/>
      <c r="J30" s="50"/>
      <c r="K30" s="50"/>
      <c r="L30" s="50"/>
      <c r="M30" s="50"/>
      <c r="N30" s="51"/>
      <c r="O30" s="52"/>
      <c r="P30" s="52"/>
      <c r="Q30" s="52"/>
      <c r="R30" s="52"/>
      <c r="S30" s="52"/>
      <c r="T30" s="52"/>
    </row>
    <row r="31" spans="1:34" customFormat="1" ht="34" x14ac:dyDescent="0.15">
      <c r="A31" s="39" t="s">
        <v>44</v>
      </c>
      <c r="B31" s="40" t="s">
        <v>45</v>
      </c>
      <c r="C31" s="40" t="s">
        <v>46</v>
      </c>
      <c r="D31" s="40" t="s">
        <v>47</v>
      </c>
      <c r="E31" s="40" t="s">
        <v>48</v>
      </c>
      <c r="F31" s="40" t="s">
        <v>49</v>
      </c>
      <c r="G31" s="40" t="s">
        <v>50</v>
      </c>
      <c r="H31" s="40" t="s">
        <v>51</v>
      </c>
      <c r="I31" s="40" t="s">
        <v>52</v>
      </c>
      <c r="J31" s="40" t="s">
        <v>53</v>
      </c>
      <c r="K31" s="40" t="s">
        <v>54</v>
      </c>
      <c r="L31" s="40" t="s">
        <v>72</v>
      </c>
      <c r="M31" s="41" t="s">
        <v>56</v>
      </c>
      <c r="N31" s="41" t="s">
        <v>57</v>
      </c>
      <c r="O31" s="41" t="s">
        <v>58</v>
      </c>
      <c r="P31" s="41" t="s">
        <v>59</v>
      </c>
      <c r="Q31" s="41" t="s">
        <v>60</v>
      </c>
      <c r="R31" s="53"/>
      <c r="S31" s="53"/>
      <c r="T31" s="53"/>
      <c r="U31" s="52"/>
      <c r="V31" s="52"/>
      <c r="W31" s="52"/>
      <c r="X31" s="52"/>
      <c r="Y31" s="52"/>
      <c r="Z31" s="52"/>
      <c r="AA31" s="52"/>
      <c r="AB31" s="52"/>
      <c r="AC31" s="52"/>
      <c r="AD31" s="52"/>
      <c r="AE31" s="52"/>
      <c r="AF31" s="52"/>
      <c r="AG31" s="52"/>
      <c r="AH31" s="52"/>
    </row>
    <row r="32" spans="1:34" s="53" customFormat="1" ht="17" x14ac:dyDescent="0.2">
      <c r="A32" s="39" t="s">
        <v>73</v>
      </c>
      <c r="B32" s="44" t="s">
        <v>64</v>
      </c>
      <c r="C32" s="44" t="s">
        <v>64</v>
      </c>
      <c r="D32" s="44" t="s">
        <v>64</v>
      </c>
      <c r="E32" s="44" t="s">
        <v>64</v>
      </c>
      <c r="F32" s="44">
        <v>204</v>
      </c>
      <c r="G32" s="44">
        <v>310</v>
      </c>
      <c r="H32" s="44">
        <v>365</v>
      </c>
      <c r="I32" s="44">
        <v>497</v>
      </c>
      <c r="J32" s="44">
        <v>569</v>
      </c>
      <c r="K32" s="44">
        <v>636</v>
      </c>
      <c r="L32" s="44">
        <v>668</v>
      </c>
      <c r="M32" s="44">
        <v>706</v>
      </c>
      <c r="N32" s="44">
        <v>668</v>
      </c>
      <c r="O32" s="44">
        <v>737</v>
      </c>
      <c r="P32" s="44">
        <v>757</v>
      </c>
      <c r="Q32" s="44">
        <v>770</v>
      </c>
      <c r="R32" s="52"/>
      <c r="S32" s="52"/>
      <c r="T32" s="52"/>
    </row>
    <row r="33" spans="1:34" s="31" customFormat="1" ht="17" x14ac:dyDescent="0.2">
      <c r="A33" s="39" t="s">
        <v>74</v>
      </c>
      <c r="B33" s="44" t="s">
        <v>64</v>
      </c>
      <c r="C33" s="44" t="s">
        <v>64</v>
      </c>
      <c r="D33" s="44" t="s">
        <v>64</v>
      </c>
      <c r="E33" s="44" t="s">
        <v>64</v>
      </c>
      <c r="F33" s="44">
        <v>92</v>
      </c>
      <c r="G33" s="44">
        <v>122</v>
      </c>
      <c r="H33" s="44">
        <v>145</v>
      </c>
      <c r="I33" s="44">
        <v>241</v>
      </c>
      <c r="J33" s="44">
        <v>225</v>
      </c>
      <c r="K33" s="44">
        <v>271</v>
      </c>
      <c r="L33" s="44">
        <v>286</v>
      </c>
      <c r="M33" s="44">
        <v>317</v>
      </c>
      <c r="N33" s="44">
        <v>287</v>
      </c>
      <c r="O33" s="44">
        <v>475</v>
      </c>
      <c r="P33" s="44">
        <v>489</v>
      </c>
      <c r="Q33" s="44">
        <v>598</v>
      </c>
      <c r="R33" s="52"/>
      <c r="S33" s="52"/>
      <c r="T33" s="52"/>
    </row>
    <row r="34" spans="1:34" s="31" customFormat="1" ht="17" x14ac:dyDescent="0.2">
      <c r="A34" s="39" t="s">
        <v>66</v>
      </c>
      <c r="B34" s="44" t="s">
        <v>64</v>
      </c>
      <c r="C34" s="44" t="s">
        <v>64</v>
      </c>
      <c r="D34" s="44" t="s">
        <v>64</v>
      </c>
      <c r="E34" s="44">
        <v>71</v>
      </c>
      <c r="F34" s="44">
        <v>296</v>
      </c>
      <c r="G34" s="44">
        <v>432</v>
      </c>
      <c r="H34" s="44">
        <v>510</v>
      </c>
      <c r="I34" s="44">
        <v>738</v>
      </c>
      <c r="J34" s="44">
        <v>794</v>
      </c>
      <c r="K34" s="44">
        <v>907</v>
      </c>
      <c r="L34" s="44">
        <v>954</v>
      </c>
      <c r="M34" s="44">
        <v>1023</v>
      </c>
      <c r="N34" s="44">
        <v>955</v>
      </c>
      <c r="O34" s="44">
        <v>1212</v>
      </c>
      <c r="P34" s="44">
        <v>1246</v>
      </c>
      <c r="Q34" s="44">
        <v>1368</v>
      </c>
      <c r="R34" s="52"/>
      <c r="S34" s="52"/>
      <c r="T34" s="52"/>
    </row>
    <row r="35" spans="1:34" s="31" customFormat="1" ht="17" x14ac:dyDescent="0.2">
      <c r="A35" s="39" t="s">
        <v>69</v>
      </c>
      <c r="B35" s="44" t="s">
        <v>64</v>
      </c>
      <c r="C35" s="44" t="s">
        <v>64</v>
      </c>
      <c r="D35" s="44" t="s">
        <v>64</v>
      </c>
      <c r="E35" s="44" t="s">
        <v>75</v>
      </c>
      <c r="F35" s="44">
        <v>1</v>
      </c>
      <c r="G35" s="44">
        <v>2</v>
      </c>
      <c r="H35" s="44">
        <v>3</v>
      </c>
      <c r="I35" s="44">
        <v>7</v>
      </c>
      <c r="J35" s="44">
        <v>20</v>
      </c>
      <c r="K35" s="44">
        <v>25</v>
      </c>
      <c r="L35" s="44">
        <v>30</v>
      </c>
      <c r="M35" s="44">
        <v>35</v>
      </c>
      <c r="N35" s="44">
        <v>38</v>
      </c>
      <c r="O35" s="44">
        <v>45</v>
      </c>
      <c r="P35" s="44">
        <v>50</v>
      </c>
      <c r="Q35" s="44">
        <v>55</v>
      </c>
      <c r="R35" s="52"/>
      <c r="S35" s="52"/>
      <c r="T35" s="52"/>
    </row>
    <row r="36" spans="1:34" s="31" customFormat="1" ht="32.5" customHeight="1" x14ac:dyDescent="0.15">
      <c r="A36" s="4" t="s">
        <v>68</v>
      </c>
      <c r="B36" s="40" t="s">
        <v>45</v>
      </c>
      <c r="C36" s="40" t="s">
        <v>46</v>
      </c>
      <c r="D36" s="40" t="s">
        <v>47</v>
      </c>
      <c r="E36" s="40" t="s">
        <v>48</v>
      </c>
      <c r="F36" s="40" t="s">
        <v>49</v>
      </c>
      <c r="G36" s="40" t="s">
        <v>50</v>
      </c>
      <c r="H36" s="40" t="s">
        <v>51</v>
      </c>
      <c r="I36" s="40" t="s">
        <v>52</v>
      </c>
      <c r="J36" s="40" t="s">
        <v>53</v>
      </c>
      <c r="K36" s="40" t="s">
        <v>54</v>
      </c>
      <c r="L36" s="40" t="s">
        <v>72</v>
      </c>
      <c r="M36" s="41" t="s">
        <v>56</v>
      </c>
      <c r="N36" s="41" t="s">
        <v>57</v>
      </c>
      <c r="O36" s="41" t="s">
        <v>58</v>
      </c>
      <c r="P36" s="41" t="s">
        <v>59</v>
      </c>
      <c r="Q36" s="41" t="s">
        <v>60</v>
      </c>
      <c r="R36" s="52"/>
      <c r="S36" s="52"/>
      <c r="T36" s="52"/>
    </row>
    <row r="37" spans="1:34" s="31" customFormat="1" ht="17" x14ac:dyDescent="0.2">
      <c r="A37" s="39" t="s">
        <v>73</v>
      </c>
      <c r="B37" s="44" t="s">
        <v>64</v>
      </c>
      <c r="C37" s="44" t="s">
        <v>64</v>
      </c>
      <c r="D37" s="44" t="s">
        <v>64</v>
      </c>
      <c r="E37" s="44" t="s">
        <v>64</v>
      </c>
      <c r="F37" s="44">
        <v>294</v>
      </c>
      <c r="G37" s="44">
        <v>431</v>
      </c>
      <c r="H37" s="44">
        <v>405</v>
      </c>
      <c r="I37" s="44">
        <v>522</v>
      </c>
      <c r="J37" s="44">
        <v>525</v>
      </c>
      <c r="K37" s="44">
        <v>517</v>
      </c>
      <c r="L37" s="44">
        <v>555</v>
      </c>
      <c r="M37" s="44">
        <v>597</v>
      </c>
      <c r="N37" s="44">
        <v>610</v>
      </c>
      <c r="O37" s="44">
        <v>631</v>
      </c>
      <c r="P37" s="44">
        <v>642</v>
      </c>
      <c r="Q37" s="44">
        <v>671</v>
      </c>
      <c r="R37" s="52"/>
      <c r="S37" s="52"/>
      <c r="T37" s="52"/>
    </row>
    <row r="38" spans="1:34" s="31" customFormat="1" ht="17" x14ac:dyDescent="0.2">
      <c r="A38" s="39" t="s">
        <v>74</v>
      </c>
      <c r="B38" s="44" t="s">
        <v>64</v>
      </c>
      <c r="C38" s="44" t="s">
        <v>64</v>
      </c>
      <c r="D38" s="44" t="s">
        <v>64</v>
      </c>
      <c r="E38" s="44" t="s">
        <v>64</v>
      </c>
      <c r="F38" s="44">
        <v>99</v>
      </c>
      <c r="G38" s="44">
        <v>147</v>
      </c>
      <c r="H38" s="44">
        <v>177</v>
      </c>
      <c r="I38" s="44">
        <v>399</v>
      </c>
      <c r="J38" s="44">
        <v>333</v>
      </c>
      <c r="K38" s="44">
        <v>385</v>
      </c>
      <c r="L38" s="44">
        <v>419</v>
      </c>
      <c r="M38" s="44">
        <v>374</v>
      </c>
      <c r="N38" s="44">
        <v>629</v>
      </c>
      <c r="O38" s="44">
        <v>859</v>
      </c>
      <c r="P38" s="44">
        <v>879</v>
      </c>
      <c r="Q38" s="44">
        <v>1172</v>
      </c>
      <c r="R38" s="52"/>
      <c r="S38" s="52"/>
      <c r="T38" s="52"/>
    </row>
    <row r="39" spans="1:34" s="31" customFormat="1" ht="17" x14ac:dyDescent="0.2">
      <c r="A39" s="39" t="s">
        <v>66</v>
      </c>
      <c r="B39" s="44" t="s">
        <v>64</v>
      </c>
      <c r="C39" s="44" t="s">
        <v>64</v>
      </c>
      <c r="D39" s="44" t="s">
        <v>64</v>
      </c>
      <c r="E39" s="44">
        <v>115</v>
      </c>
      <c r="F39" s="44">
        <v>393</v>
      </c>
      <c r="G39" s="44">
        <v>578</v>
      </c>
      <c r="H39" s="44">
        <v>582</v>
      </c>
      <c r="I39" s="44">
        <v>921</v>
      </c>
      <c r="J39" s="44">
        <v>858</v>
      </c>
      <c r="K39" s="44">
        <v>902</v>
      </c>
      <c r="L39" s="44">
        <v>974</v>
      </c>
      <c r="M39" s="44">
        <v>971</v>
      </c>
      <c r="N39" s="44">
        <v>1239</v>
      </c>
      <c r="O39" s="44">
        <v>1490</v>
      </c>
      <c r="P39" s="44">
        <v>1520</v>
      </c>
      <c r="Q39" s="44">
        <v>1843</v>
      </c>
      <c r="R39" s="52"/>
      <c r="S39" s="52"/>
      <c r="T39" s="52"/>
    </row>
    <row r="40" spans="1:34" s="31" customFormat="1" ht="17" x14ac:dyDescent="0.2">
      <c r="A40" s="39" t="s">
        <v>69</v>
      </c>
      <c r="B40" s="44" t="s">
        <v>64</v>
      </c>
      <c r="C40" s="44" t="s">
        <v>64</v>
      </c>
      <c r="D40" s="44" t="s">
        <v>64</v>
      </c>
      <c r="E40" s="44" t="s">
        <v>75</v>
      </c>
      <c r="F40" s="44">
        <v>1</v>
      </c>
      <c r="G40" s="44">
        <v>1</v>
      </c>
      <c r="H40" s="44">
        <v>2</v>
      </c>
      <c r="I40" s="44">
        <v>4</v>
      </c>
      <c r="J40" s="44">
        <v>9</v>
      </c>
      <c r="K40" s="44">
        <v>14</v>
      </c>
      <c r="L40" s="44">
        <v>17</v>
      </c>
      <c r="M40" s="44">
        <v>21</v>
      </c>
      <c r="N40" s="44">
        <v>24</v>
      </c>
      <c r="O40" s="44">
        <v>29</v>
      </c>
      <c r="P40" s="44">
        <v>30</v>
      </c>
      <c r="Q40" s="44">
        <v>32</v>
      </c>
      <c r="R40" s="52"/>
      <c r="S40" s="52"/>
      <c r="T40" s="52"/>
    </row>
    <row r="41" spans="1:34" s="31" customFormat="1" ht="34" x14ac:dyDescent="0.15">
      <c r="A41" s="39" t="s">
        <v>76</v>
      </c>
      <c r="B41" s="40" t="s">
        <v>45</v>
      </c>
      <c r="C41" s="40" t="s">
        <v>46</v>
      </c>
      <c r="D41" s="40" t="s">
        <v>47</v>
      </c>
      <c r="E41" s="40" t="s">
        <v>48</v>
      </c>
      <c r="F41" s="40" t="s">
        <v>49</v>
      </c>
      <c r="G41" s="40" t="s">
        <v>50</v>
      </c>
      <c r="H41" s="40" t="s">
        <v>51</v>
      </c>
      <c r="I41" s="40" t="s">
        <v>52</v>
      </c>
      <c r="J41" s="40" t="s">
        <v>53</v>
      </c>
      <c r="K41" s="40" t="s">
        <v>54</v>
      </c>
      <c r="L41" s="40" t="s">
        <v>72</v>
      </c>
      <c r="M41" s="41" t="s">
        <v>56</v>
      </c>
      <c r="N41" s="41" t="s">
        <v>57</v>
      </c>
      <c r="O41" s="41" t="s">
        <v>58</v>
      </c>
      <c r="P41" s="41" t="s">
        <v>59</v>
      </c>
      <c r="Q41" s="41" t="s">
        <v>60</v>
      </c>
      <c r="R41" s="52"/>
      <c r="S41" s="52"/>
      <c r="T41" s="52"/>
    </row>
    <row r="42" spans="1:34" s="31" customFormat="1" ht="17" x14ac:dyDescent="0.2">
      <c r="A42" s="39" t="s">
        <v>73</v>
      </c>
      <c r="B42" s="44" t="s">
        <v>64</v>
      </c>
      <c r="C42" s="44" t="s">
        <v>64</v>
      </c>
      <c r="D42" s="44" t="s">
        <v>64</v>
      </c>
      <c r="E42" s="44" t="s">
        <v>64</v>
      </c>
      <c r="F42" s="44">
        <v>1442</v>
      </c>
      <c r="G42" s="44">
        <v>1391</v>
      </c>
      <c r="H42" s="44">
        <v>1110</v>
      </c>
      <c r="I42" s="44">
        <v>1050</v>
      </c>
      <c r="J42" s="44">
        <v>922</v>
      </c>
      <c r="K42" s="44">
        <v>812</v>
      </c>
      <c r="L42" s="44">
        <v>830</v>
      </c>
      <c r="M42" s="44">
        <v>846</v>
      </c>
      <c r="N42" s="44">
        <v>913</v>
      </c>
      <c r="O42" s="44">
        <v>856</v>
      </c>
      <c r="P42" s="44">
        <v>848</v>
      </c>
      <c r="Q42" s="44">
        <v>872</v>
      </c>
      <c r="R42" s="52"/>
      <c r="S42" s="52"/>
      <c r="T42" s="52"/>
    </row>
    <row r="43" spans="1:34" s="31" customFormat="1" ht="17" x14ac:dyDescent="0.2">
      <c r="A43" s="39" t="s">
        <v>74</v>
      </c>
      <c r="B43" s="44" t="s">
        <v>64</v>
      </c>
      <c r="C43" s="44" t="s">
        <v>64</v>
      </c>
      <c r="D43" s="44" t="s">
        <v>64</v>
      </c>
      <c r="E43" s="44" t="s">
        <v>64</v>
      </c>
      <c r="F43" s="44">
        <v>1075</v>
      </c>
      <c r="G43" s="44">
        <v>1208</v>
      </c>
      <c r="H43" s="44">
        <v>1221</v>
      </c>
      <c r="I43" s="44">
        <v>1656</v>
      </c>
      <c r="J43" s="44">
        <v>1480</v>
      </c>
      <c r="K43" s="44">
        <v>1421</v>
      </c>
      <c r="L43" s="44">
        <v>1465</v>
      </c>
      <c r="M43" s="44">
        <v>1180</v>
      </c>
      <c r="N43" s="44">
        <v>2192</v>
      </c>
      <c r="O43" s="44">
        <v>1807</v>
      </c>
      <c r="P43" s="44">
        <v>1797</v>
      </c>
      <c r="Q43" s="44">
        <v>1960</v>
      </c>
      <c r="R43" s="52"/>
      <c r="S43" s="52"/>
      <c r="T43" s="52"/>
    </row>
    <row r="44" spans="1:34" s="31" customFormat="1" ht="17" x14ac:dyDescent="0.2">
      <c r="A44" s="39" t="s">
        <v>66</v>
      </c>
      <c r="B44" s="44" t="s">
        <v>64</v>
      </c>
      <c r="C44" s="44" t="s">
        <v>64</v>
      </c>
      <c r="D44" s="44" t="s">
        <v>64</v>
      </c>
      <c r="E44" s="44">
        <v>1623</v>
      </c>
      <c r="F44" s="44">
        <v>1327</v>
      </c>
      <c r="G44" s="44">
        <v>1340</v>
      </c>
      <c r="H44" s="44">
        <v>1141</v>
      </c>
      <c r="I44" s="44">
        <v>1248</v>
      </c>
      <c r="J44" s="44">
        <v>1080</v>
      </c>
      <c r="K44" s="44">
        <v>994</v>
      </c>
      <c r="L44" s="44">
        <v>1020</v>
      </c>
      <c r="M44" s="44">
        <v>949</v>
      </c>
      <c r="N44" s="44">
        <v>1297</v>
      </c>
      <c r="O44" s="44">
        <v>1229</v>
      </c>
      <c r="P44" s="44">
        <v>1220</v>
      </c>
      <c r="Q44" s="44">
        <v>1347</v>
      </c>
      <c r="R44" s="52"/>
      <c r="S44" s="52"/>
      <c r="T44" s="52"/>
    </row>
    <row r="45" spans="1:34" s="31" customFormat="1" ht="17" x14ac:dyDescent="0.2">
      <c r="A45" s="39" t="s">
        <v>69</v>
      </c>
      <c r="B45" s="44" t="s">
        <v>64</v>
      </c>
      <c r="C45" s="44" t="s">
        <v>64</v>
      </c>
      <c r="D45" s="44" t="s">
        <v>64</v>
      </c>
      <c r="E45" s="44" t="s">
        <v>75</v>
      </c>
      <c r="F45" s="44">
        <v>816</v>
      </c>
      <c r="G45" s="44">
        <v>435</v>
      </c>
      <c r="H45" s="44">
        <v>667</v>
      </c>
      <c r="I45" s="44">
        <v>571</v>
      </c>
      <c r="J45" s="44">
        <v>450</v>
      </c>
      <c r="K45" s="44">
        <v>560</v>
      </c>
      <c r="L45" s="44">
        <v>566</v>
      </c>
      <c r="M45" s="44">
        <v>600</v>
      </c>
      <c r="N45" s="44">
        <v>632</v>
      </c>
      <c r="O45" s="44">
        <v>655</v>
      </c>
      <c r="P45" s="44">
        <v>599</v>
      </c>
      <c r="Q45" s="44">
        <v>590</v>
      </c>
      <c r="R45" s="52"/>
      <c r="S45" s="52"/>
      <c r="T45" s="52"/>
    </row>
    <row r="46" spans="1:34" s="31" customFormat="1" ht="16" x14ac:dyDescent="0.2">
      <c r="A46" s="43" t="s">
        <v>16</v>
      </c>
      <c r="B46" s="52"/>
      <c r="C46" s="52"/>
      <c r="D46" s="52"/>
      <c r="E46" s="52"/>
      <c r="F46" s="52"/>
      <c r="G46" s="52"/>
      <c r="H46" s="52"/>
      <c r="I46" s="52"/>
      <c r="J46" s="52"/>
      <c r="K46" s="52"/>
      <c r="L46" s="52"/>
      <c r="M46" s="52"/>
      <c r="N46" s="52"/>
      <c r="O46" s="52"/>
      <c r="P46" s="52"/>
      <c r="Q46" s="52"/>
      <c r="R46" s="52"/>
      <c r="S46" s="52"/>
      <c r="T46" s="52"/>
    </row>
    <row r="47" spans="1:34" customFormat="1" x14ac:dyDescent="0.15">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row>
    <row r="48" spans="1:34" customFormat="1" x14ac:dyDescent="0.15">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row>
    <row r="49" spans="1:34" customFormat="1" x14ac:dyDescent="0.15">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row>
    <row r="50" spans="1:34" customFormat="1" x14ac:dyDescent="0.15">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row>
  </sheetData>
  <pageMargins left="0.70000000000000007" right="0.70000000000000007" top="0.75" bottom="0.75" header="0.30000000000000004" footer="0.30000000000000004"/>
  <pageSetup paperSize="0" fitToWidth="0" fitToHeight="0" orientation="portrait" horizontalDpi="0" verticalDpi="0" copies="0"/>
  <headerFooter>
    <oddFooter>&amp;C&amp;1#&amp;"Calibri,Regular"&amp;10OFFICIAL</oddFooter>
  </headerFooter>
  <tableParts count="6">
    <tablePart r:id="rId1"/>
    <tablePart r:id="rId2"/>
    <tablePart r:id="rId3"/>
    <tablePart r:id="rId4"/>
    <tablePart r:id="rId5"/>
    <tablePart r:id="rId6"/>
  </tableParts>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8"/>
  <sheetViews>
    <sheetView workbookViewId="0"/>
  </sheetViews>
  <sheetFormatPr baseColWidth="10" defaultRowHeight="11" x14ac:dyDescent="0.15"/>
  <cols>
    <col min="1" max="1" width="101.83203125" style="76" customWidth="1"/>
    <col min="2" max="14" width="17.6640625" style="76" customWidth="1"/>
    <col min="15" max="250" width="20.6640625" style="76" customWidth="1"/>
    <col min="251" max="251" width="29.5" style="76" customWidth="1"/>
    <col min="252" max="252" width="114.1640625" style="76" customWidth="1"/>
    <col min="253" max="253" width="25.5" style="76" customWidth="1"/>
    <col min="254" max="254" width="5.33203125" style="76" customWidth="1"/>
    <col min="255" max="255" width="25.5" style="76" customWidth="1"/>
    <col min="256" max="256" width="4" style="76" customWidth="1"/>
    <col min="257" max="257" width="25.5" style="76" customWidth="1"/>
    <col min="258" max="258" width="4.1640625" style="76" customWidth="1"/>
    <col min="259" max="259" width="25.5" style="76" customWidth="1"/>
    <col min="260" max="260" width="3.5" style="76" customWidth="1"/>
    <col min="261" max="261" width="25.5" style="76" customWidth="1"/>
    <col min="262" max="262" width="3.5" style="76" customWidth="1"/>
    <col min="263" max="263" width="25.5" style="76" customWidth="1"/>
    <col min="264" max="264" width="3.5" style="76" customWidth="1"/>
    <col min="265" max="506" width="20.6640625" style="76" customWidth="1"/>
    <col min="507" max="507" width="29.5" style="76" customWidth="1"/>
    <col min="508" max="508" width="114.1640625" style="76" customWidth="1"/>
    <col min="509" max="509" width="25.5" style="76" customWidth="1"/>
    <col min="510" max="510" width="5.33203125" style="76" customWidth="1"/>
    <col min="511" max="511" width="25.5" style="76" customWidth="1"/>
    <col min="512" max="512" width="4" style="76" customWidth="1"/>
    <col min="513" max="513" width="25.5" style="76" customWidth="1"/>
    <col min="514" max="514" width="4.1640625" style="76" customWidth="1"/>
    <col min="515" max="515" width="25.5" style="76" customWidth="1"/>
    <col min="516" max="516" width="3.5" style="76" customWidth="1"/>
    <col min="517" max="517" width="25.5" style="76" customWidth="1"/>
    <col min="518" max="518" width="3.5" style="76" customWidth="1"/>
    <col min="519" max="519" width="25.5" style="76" customWidth="1"/>
    <col min="520" max="520" width="3.5" style="76" customWidth="1"/>
    <col min="521" max="762" width="20.6640625" style="76" customWidth="1"/>
    <col min="763" max="763" width="29.5" style="76" customWidth="1"/>
    <col min="764" max="764" width="114.1640625" style="76" customWidth="1"/>
    <col min="765" max="765" width="25.5" style="76" customWidth="1"/>
    <col min="766" max="766" width="5.33203125" style="76" customWidth="1"/>
    <col min="767" max="767" width="25.5" style="76" customWidth="1"/>
    <col min="768" max="768" width="4" style="76" customWidth="1"/>
    <col min="769" max="769" width="25.5" style="76" customWidth="1"/>
    <col min="770" max="770" width="4.1640625" style="76" customWidth="1"/>
    <col min="771" max="771" width="25.5" style="76" customWidth="1"/>
    <col min="772" max="772" width="3.5" style="76" customWidth="1"/>
    <col min="773" max="773" width="25.5" style="76" customWidth="1"/>
    <col min="774" max="774" width="3.5" style="76" customWidth="1"/>
    <col min="775" max="775" width="25.5" style="76" customWidth="1"/>
    <col min="776" max="776" width="3.5" style="76" customWidth="1"/>
    <col min="777" max="1018" width="20.6640625" style="76" customWidth="1"/>
    <col min="1019" max="1019" width="29.5" style="76" customWidth="1"/>
    <col min="1020" max="1020" width="114.1640625" style="76" customWidth="1"/>
    <col min="1021" max="1021" width="25.5" style="76" customWidth="1"/>
    <col min="1022" max="1022" width="5.33203125" style="76" customWidth="1"/>
    <col min="1023" max="1023" width="25.5" style="76" customWidth="1"/>
    <col min="1024" max="1024" width="4" style="76" customWidth="1"/>
    <col min="1025" max="1025" width="25.5" style="76" customWidth="1"/>
    <col min="1026" max="1026" width="4.1640625" style="76" customWidth="1"/>
    <col min="1027" max="1027" width="25.5" style="76" customWidth="1"/>
    <col min="1028" max="1028" width="3.5" style="76" customWidth="1"/>
    <col min="1029" max="1029" width="25.5" style="76" customWidth="1"/>
    <col min="1030" max="1030" width="3.5" style="76" customWidth="1"/>
    <col min="1031" max="1031" width="25.5" style="76" customWidth="1"/>
    <col min="1032" max="1032" width="3.5" style="76" customWidth="1"/>
    <col min="1033" max="1274" width="20.6640625" style="76" customWidth="1"/>
    <col min="1275" max="1275" width="29.5" style="76" customWidth="1"/>
    <col min="1276" max="1276" width="114.1640625" style="76" customWidth="1"/>
    <col min="1277" max="1277" width="25.5" style="76" customWidth="1"/>
    <col min="1278" max="1278" width="5.33203125" style="76" customWidth="1"/>
    <col min="1279" max="1279" width="25.5" style="76" customWidth="1"/>
    <col min="1280" max="1280" width="4" style="76" customWidth="1"/>
    <col min="1281" max="1281" width="25.5" style="76" customWidth="1"/>
    <col min="1282" max="1282" width="4.1640625" style="76" customWidth="1"/>
    <col min="1283" max="1283" width="25.5" style="76" customWidth="1"/>
    <col min="1284" max="1284" width="3.5" style="76" customWidth="1"/>
    <col min="1285" max="1285" width="25.5" style="76" customWidth="1"/>
    <col min="1286" max="1286" width="3.5" style="76" customWidth="1"/>
    <col min="1287" max="1287" width="25.5" style="76" customWidth="1"/>
    <col min="1288" max="1288" width="3.5" style="76" customWidth="1"/>
    <col min="1289" max="1530" width="20.6640625" style="76" customWidth="1"/>
    <col min="1531" max="1531" width="29.5" style="76" customWidth="1"/>
    <col min="1532" max="1532" width="114.1640625" style="76" customWidth="1"/>
    <col min="1533" max="1533" width="25.5" style="76" customWidth="1"/>
    <col min="1534" max="1534" width="5.33203125" style="76" customWidth="1"/>
    <col min="1535" max="1535" width="25.5" style="76" customWidth="1"/>
    <col min="1536" max="1536" width="4" style="76" customWidth="1"/>
    <col min="1537" max="1537" width="25.5" style="76" customWidth="1"/>
    <col min="1538" max="1538" width="4.1640625" style="76" customWidth="1"/>
    <col min="1539" max="1539" width="25.5" style="76" customWidth="1"/>
    <col min="1540" max="1540" width="3.5" style="76" customWidth="1"/>
    <col min="1541" max="1541" width="25.5" style="76" customWidth="1"/>
    <col min="1542" max="1542" width="3.5" style="76" customWidth="1"/>
    <col min="1543" max="1543" width="25.5" style="76" customWidth="1"/>
    <col min="1544" max="1544" width="3.5" style="76" customWidth="1"/>
    <col min="1545" max="1786" width="20.6640625" style="76" customWidth="1"/>
    <col min="1787" max="1787" width="29.5" style="76" customWidth="1"/>
    <col min="1788" max="1788" width="114.1640625" style="76" customWidth="1"/>
    <col min="1789" max="1789" width="25.5" style="76" customWidth="1"/>
    <col min="1790" max="1790" width="5.33203125" style="76" customWidth="1"/>
    <col min="1791" max="1791" width="25.5" style="76" customWidth="1"/>
    <col min="1792" max="1792" width="4" style="76" customWidth="1"/>
    <col min="1793" max="1793" width="25.5" style="76" customWidth="1"/>
    <col min="1794" max="1794" width="4.1640625" style="76" customWidth="1"/>
    <col min="1795" max="1795" width="25.5" style="76" customWidth="1"/>
    <col min="1796" max="1796" width="3.5" style="76" customWidth="1"/>
    <col min="1797" max="1797" width="25.5" style="76" customWidth="1"/>
    <col min="1798" max="1798" width="3.5" style="76" customWidth="1"/>
    <col min="1799" max="1799" width="25.5" style="76" customWidth="1"/>
    <col min="1800" max="1800" width="3.5" style="76" customWidth="1"/>
    <col min="1801" max="2042" width="20.6640625" style="76" customWidth="1"/>
    <col min="2043" max="2043" width="29.5" style="76" customWidth="1"/>
    <col min="2044" max="2044" width="114.1640625" style="76" customWidth="1"/>
    <col min="2045" max="2045" width="25.5" style="76" customWidth="1"/>
    <col min="2046" max="2046" width="5.33203125" style="76" customWidth="1"/>
    <col min="2047" max="2047" width="25.5" style="76" customWidth="1"/>
    <col min="2048" max="2048" width="4" style="76" customWidth="1"/>
    <col min="2049" max="2049" width="25.5" style="76" customWidth="1"/>
    <col min="2050" max="2050" width="4.1640625" style="76" customWidth="1"/>
    <col min="2051" max="2051" width="25.5" style="76" customWidth="1"/>
    <col min="2052" max="2052" width="3.5" style="76" customWidth="1"/>
    <col min="2053" max="2053" width="25.5" style="76" customWidth="1"/>
    <col min="2054" max="2054" width="3.5" style="76" customWidth="1"/>
    <col min="2055" max="2055" width="25.5" style="76" customWidth="1"/>
    <col min="2056" max="2056" width="3.5" style="76" customWidth="1"/>
    <col min="2057" max="2298" width="20.6640625" style="76" customWidth="1"/>
    <col min="2299" max="2299" width="29.5" style="76" customWidth="1"/>
    <col min="2300" max="2300" width="114.1640625" style="76" customWidth="1"/>
    <col min="2301" max="2301" width="25.5" style="76" customWidth="1"/>
    <col min="2302" max="2302" width="5.33203125" style="76" customWidth="1"/>
    <col min="2303" max="2303" width="25.5" style="76" customWidth="1"/>
    <col min="2304" max="2304" width="4" style="76" customWidth="1"/>
    <col min="2305" max="2305" width="25.5" style="76" customWidth="1"/>
    <col min="2306" max="2306" width="4.1640625" style="76" customWidth="1"/>
    <col min="2307" max="2307" width="25.5" style="76" customWidth="1"/>
    <col min="2308" max="2308" width="3.5" style="76" customWidth="1"/>
    <col min="2309" max="2309" width="25.5" style="76" customWidth="1"/>
    <col min="2310" max="2310" width="3.5" style="76" customWidth="1"/>
    <col min="2311" max="2311" width="25.5" style="76" customWidth="1"/>
    <col min="2312" max="2312" width="3.5" style="76" customWidth="1"/>
    <col min="2313" max="2554" width="20.6640625" style="76" customWidth="1"/>
    <col min="2555" max="2555" width="29.5" style="76" customWidth="1"/>
    <col min="2556" max="2556" width="114.1640625" style="76" customWidth="1"/>
    <col min="2557" max="2557" width="25.5" style="76" customWidth="1"/>
    <col min="2558" max="2558" width="5.33203125" style="76" customWidth="1"/>
    <col min="2559" max="2559" width="25.5" style="76" customWidth="1"/>
    <col min="2560" max="2560" width="4" style="76" customWidth="1"/>
    <col min="2561" max="2561" width="25.5" style="76" customWidth="1"/>
    <col min="2562" max="2562" width="4.1640625" style="76" customWidth="1"/>
    <col min="2563" max="2563" width="25.5" style="76" customWidth="1"/>
    <col min="2564" max="2564" width="3.5" style="76" customWidth="1"/>
    <col min="2565" max="2565" width="25.5" style="76" customWidth="1"/>
    <col min="2566" max="2566" width="3.5" style="76" customWidth="1"/>
    <col min="2567" max="2567" width="25.5" style="76" customWidth="1"/>
    <col min="2568" max="2568" width="3.5" style="76" customWidth="1"/>
    <col min="2569" max="2810" width="20.6640625" style="76" customWidth="1"/>
    <col min="2811" max="2811" width="29.5" style="76" customWidth="1"/>
    <col min="2812" max="2812" width="114.1640625" style="76" customWidth="1"/>
    <col min="2813" max="2813" width="25.5" style="76" customWidth="1"/>
    <col min="2814" max="2814" width="5.33203125" style="76" customWidth="1"/>
    <col min="2815" max="2815" width="25.5" style="76" customWidth="1"/>
    <col min="2816" max="2816" width="4" style="76" customWidth="1"/>
    <col min="2817" max="2817" width="25.5" style="76" customWidth="1"/>
    <col min="2818" max="2818" width="4.1640625" style="76" customWidth="1"/>
    <col min="2819" max="2819" width="25.5" style="76" customWidth="1"/>
    <col min="2820" max="2820" width="3.5" style="76" customWidth="1"/>
    <col min="2821" max="2821" width="25.5" style="76" customWidth="1"/>
    <col min="2822" max="2822" width="3.5" style="76" customWidth="1"/>
    <col min="2823" max="2823" width="25.5" style="76" customWidth="1"/>
    <col min="2824" max="2824" width="3.5" style="76" customWidth="1"/>
    <col min="2825" max="3066" width="20.6640625" style="76" customWidth="1"/>
    <col min="3067" max="3067" width="29.5" style="76" customWidth="1"/>
    <col min="3068" max="3068" width="114.1640625" style="76" customWidth="1"/>
    <col min="3069" max="3069" width="25.5" style="76" customWidth="1"/>
    <col min="3070" max="3070" width="5.33203125" style="76" customWidth="1"/>
    <col min="3071" max="3071" width="25.5" style="76" customWidth="1"/>
    <col min="3072" max="3072" width="4" style="76" customWidth="1"/>
    <col min="3073" max="3073" width="25.5" style="76" customWidth="1"/>
    <col min="3074" max="3074" width="4.1640625" style="76" customWidth="1"/>
    <col min="3075" max="3075" width="25.5" style="76" customWidth="1"/>
    <col min="3076" max="3076" width="3.5" style="76" customWidth="1"/>
    <col min="3077" max="3077" width="25.5" style="76" customWidth="1"/>
    <col min="3078" max="3078" width="3.5" style="76" customWidth="1"/>
    <col min="3079" max="3079" width="25.5" style="76" customWidth="1"/>
    <col min="3080" max="3080" width="3.5" style="76" customWidth="1"/>
    <col min="3081" max="3322" width="20.6640625" style="76" customWidth="1"/>
    <col min="3323" max="3323" width="29.5" style="76" customWidth="1"/>
    <col min="3324" max="3324" width="114.1640625" style="76" customWidth="1"/>
    <col min="3325" max="3325" width="25.5" style="76" customWidth="1"/>
    <col min="3326" max="3326" width="5.33203125" style="76" customWidth="1"/>
    <col min="3327" max="3327" width="25.5" style="76" customWidth="1"/>
    <col min="3328" max="3328" width="4" style="76" customWidth="1"/>
    <col min="3329" max="3329" width="25.5" style="76" customWidth="1"/>
    <col min="3330" max="3330" width="4.1640625" style="76" customWidth="1"/>
    <col min="3331" max="3331" width="25.5" style="76" customWidth="1"/>
    <col min="3332" max="3332" width="3.5" style="76" customWidth="1"/>
    <col min="3333" max="3333" width="25.5" style="76" customWidth="1"/>
    <col min="3334" max="3334" width="3.5" style="76" customWidth="1"/>
    <col min="3335" max="3335" width="25.5" style="76" customWidth="1"/>
    <col min="3336" max="3336" width="3.5" style="76" customWidth="1"/>
    <col min="3337" max="3578" width="20.6640625" style="76" customWidth="1"/>
    <col min="3579" max="3579" width="29.5" style="76" customWidth="1"/>
    <col min="3580" max="3580" width="114.1640625" style="76" customWidth="1"/>
    <col min="3581" max="3581" width="25.5" style="76" customWidth="1"/>
    <col min="3582" max="3582" width="5.33203125" style="76" customWidth="1"/>
    <col min="3583" max="3583" width="25.5" style="76" customWidth="1"/>
    <col min="3584" max="3584" width="4" style="76" customWidth="1"/>
    <col min="3585" max="3585" width="25.5" style="76" customWidth="1"/>
    <col min="3586" max="3586" width="4.1640625" style="76" customWidth="1"/>
    <col min="3587" max="3587" width="25.5" style="76" customWidth="1"/>
    <col min="3588" max="3588" width="3.5" style="76" customWidth="1"/>
    <col min="3589" max="3589" width="25.5" style="76" customWidth="1"/>
    <col min="3590" max="3590" width="3.5" style="76" customWidth="1"/>
    <col min="3591" max="3591" width="25.5" style="76" customWidth="1"/>
    <col min="3592" max="3592" width="3.5" style="76" customWidth="1"/>
    <col min="3593" max="3834" width="20.6640625" style="76" customWidth="1"/>
    <col min="3835" max="3835" width="29.5" style="76" customWidth="1"/>
    <col min="3836" max="3836" width="114.1640625" style="76" customWidth="1"/>
    <col min="3837" max="3837" width="25.5" style="76" customWidth="1"/>
    <col min="3838" max="3838" width="5.33203125" style="76" customWidth="1"/>
    <col min="3839" max="3839" width="25.5" style="76" customWidth="1"/>
    <col min="3840" max="3840" width="4" style="76" customWidth="1"/>
    <col min="3841" max="3841" width="25.5" style="76" customWidth="1"/>
    <col min="3842" max="3842" width="4.1640625" style="76" customWidth="1"/>
    <col min="3843" max="3843" width="25.5" style="76" customWidth="1"/>
    <col min="3844" max="3844" width="3.5" style="76" customWidth="1"/>
    <col min="3845" max="3845" width="25.5" style="76" customWidth="1"/>
    <col min="3846" max="3846" width="3.5" style="76" customWidth="1"/>
    <col min="3847" max="3847" width="25.5" style="76" customWidth="1"/>
    <col min="3848" max="3848" width="3.5" style="76" customWidth="1"/>
    <col min="3849" max="4090" width="20.6640625" style="76" customWidth="1"/>
    <col min="4091" max="4091" width="29.5" style="76" customWidth="1"/>
    <col min="4092" max="4092" width="114.1640625" style="76" customWidth="1"/>
    <col min="4093" max="4093" width="25.5" style="76" customWidth="1"/>
    <col min="4094" max="4094" width="5.33203125" style="76" customWidth="1"/>
    <col min="4095" max="4095" width="25.5" style="76" customWidth="1"/>
    <col min="4096" max="4096" width="4" style="76" customWidth="1"/>
    <col min="4097" max="4097" width="25.5" style="76" customWidth="1"/>
    <col min="4098" max="4098" width="4.1640625" style="76" customWidth="1"/>
    <col min="4099" max="4099" width="25.5" style="76" customWidth="1"/>
    <col min="4100" max="4100" width="3.5" style="76" customWidth="1"/>
    <col min="4101" max="4101" width="25.5" style="76" customWidth="1"/>
    <col min="4102" max="4102" width="3.5" style="76" customWidth="1"/>
    <col min="4103" max="4103" width="25.5" style="76" customWidth="1"/>
    <col min="4104" max="4104" width="3.5" style="76" customWidth="1"/>
    <col min="4105" max="4346" width="20.6640625" style="76" customWidth="1"/>
    <col min="4347" max="4347" width="29.5" style="76" customWidth="1"/>
    <col min="4348" max="4348" width="114.1640625" style="76" customWidth="1"/>
    <col min="4349" max="4349" width="25.5" style="76" customWidth="1"/>
    <col min="4350" max="4350" width="5.33203125" style="76" customWidth="1"/>
    <col min="4351" max="4351" width="25.5" style="76" customWidth="1"/>
    <col min="4352" max="4352" width="4" style="76" customWidth="1"/>
    <col min="4353" max="4353" width="25.5" style="76" customWidth="1"/>
    <col min="4354" max="4354" width="4.1640625" style="76" customWidth="1"/>
    <col min="4355" max="4355" width="25.5" style="76" customWidth="1"/>
    <col min="4356" max="4356" width="3.5" style="76" customWidth="1"/>
    <col min="4357" max="4357" width="25.5" style="76" customWidth="1"/>
    <col min="4358" max="4358" width="3.5" style="76" customWidth="1"/>
    <col min="4359" max="4359" width="25.5" style="76" customWidth="1"/>
    <col min="4360" max="4360" width="3.5" style="76" customWidth="1"/>
    <col min="4361" max="4602" width="20.6640625" style="76" customWidth="1"/>
    <col min="4603" max="4603" width="29.5" style="76" customWidth="1"/>
    <col min="4604" max="4604" width="114.1640625" style="76" customWidth="1"/>
    <col min="4605" max="4605" width="25.5" style="76" customWidth="1"/>
    <col min="4606" max="4606" width="5.33203125" style="76" customWidth="1"/>
    <col min="4607" max="4607" width="25.5" style="76" customWidth="1"/>
    <col min="4608" max="4608" width="4" style="76" customWidth="1"/>
    <col min="4609" max="4609" width="25.5" style="76" customWidth="1"/>
    <col min="4610" max="4610" width="4.1640625" style="76" customWidth="1"/>
    <col min="4611" max="4611" width="25.5" style="76" customWidth="1"/>
    <col min="4612" max="4612" width="3.5" style="76" customWidth="1"/>
    <col min="4613" max="4613" width="25.5" style="76" customWidth="1"/>
    <col min="4614" max="4614" width="3.5" style="76" customWidth="1"/>
    <col min="4615" max="4615" width="25.5" style="76" customWidth="1"/>
    <col min="4616" max="4616" width="3.5" style="76" customWidth="1"/>
    <col min="4617" max="4858" width="20.6640625" style="76" customWidth="1"/>
    <col min="4859" max="4859" width="29.5" style="76" customWidth="1"/>
    <col min="4860" max="4860" width="114.1640625" style="76" customWidth="1"/>
    <col min="4861" max="4861" width="25.5" style="76" customWidth="1"/>
    <col min="4862" max="4862" width="5.33203125" style="76" customWidth="1"/>
    <col min="4863" max="4863" width="25.5" style="76" customWidth="1"/>
    <col min="4864" max="4864" width="4" style="76" customWidth="1"/>
    <col min="4865" max="4865" width="25.5" style="76" customWidth="1"/>
    <col min="4866" max="4866" width="4.1640625" style="76" customWidth="1"/>
    <col min="4867" max="4867" width="25.5" style="76" customWidth="1"/>
    <col min="4868" max="4868" width="3.5" style="76" customWidth="1"/>
    <col min="4869" max="4869" width="25.5" style="76" customWidth="1"/>
    <col min="4870" max="4870" width="3.5" style="76" customWidth="1"/>
    <col min="4871" max="4871" width="25.5" style="76" customWidth="1"/>
    <col min="4872" max="4872" width="3.5" style="76" customWidth="1"/>
    <col min="4873" max="5114" width="20.6640625" style="76" customWidth="1"/>
    <col min="5115" max="5115" width="29.5" style="76" customWidth="1"/>
    <col min="5116" max="5116" width="114.1640625" style="76" customWidth="1"/>
    <col min="5117" max="5117" width="25.5" style="76" customWidth="1"/>
    <col min="5118" max="5118" width="5.33203125" style="76" customWidth="1"/>
    <col min="5119" max="5119" width="25.5" style="76" customWidth="1"/>
    <col min="5120" max="5120" width="4" style="76" customWidth="1"/>
    <col min="5121" max="5121" width="25.5" style="76" customWidth="1"/>
    <col min="5122" max="5122" width="4.1640625" style="76" customWidth="1"/>
    <col min="5123" max="5123" width="25.5" style="76" customWidth="1"/>
    <col min="5124" max="5124" width="3.5" style="76" customWidth="1"/>
    <col min="5125" max="5125" width="25.5" style="76" customWidth="1"/>
    <col min="5126" max="5126" width="3.5" style="76" customWidth="1"/>
    <col min="5127" max="5127" width="25.5" style="76" customWidth="1"/>
    <col min="5128" max="5128" width="3.5" style="76" customWidth="1"/>
    <col min="5129" max="5370" width="20.6640625" style="76" customWidth="1"/>
    <col min="5371" max="5371" width="29.5" style="76" customWidth="1"/>
    <col min="5372" max="5372" width="114.1640625" style="76" customWidth="1"/>
    <col min="5373" max="5373" width="25.5" style="76" customWidth="1"/>
    <col min="5374" max="5374" width="5.33203125" style="76" customWidth="1"/>
    <col min="5375" max="5375" width="25.5" style="76" customWidth="1"/>
    <col min="5376" max="5376" width="4" style="76" customWidth="1"/>
    <col min="5377" max="5377" width="25.5" style="76" customWidth="1"/>
    <col min="5378" max="5378" width="4.1640625" style="76" customWidth="1"/>
    <col min="5379" max="5379" width="25.5" style="76" customWidth="1"/>
    <col min="5380" max="5380" width="3.5" style="76" customWidth="1"/>
    <col min="5381" max="5381" width="25.5" style="76" customWidth="1"/>
    <col min="5382" max="5382" width="3.5" style="76" customWidth="1"/>
    <col min="5383" max="5383" width="25.5" style="76" customWidth="1"/>
    <col min="5384" max="5384" width="3.5" style="76" customWidth="1"/>
    <col min="5385" max="5626" width="20.6640625" style="76" customWidth="1"/>
    <col min="5627" max="5627" width="29.5" style="76" customWidth="1"/>
    <col min="5628" max="5628" width="114.1640625" style="76" customWidth="1"/>
    <col min="5629" max="5629" width="25.5" style="76" customWidth="1"/>
    <col min="5630" max="5630" width="5.33203125" style="76" customWidth="1"/>
    <col min="5631" max="5631" width="25.5" style="76" customWidth="1"/>
    <col min="5632" max="5632" width="4" style="76" customWidth="1"/>
    <col min="5633" max="5633" width="25.5" style="76" customWidth="1"/>
    <col min="5634" max="5634" width="4.1640625" style="76" customWidth="1"/>
    <col min="5635" max="5635" width="25.5" style="76" customWidth="1"/>
    <col min="5636" max="5636" width="3.5" style="76" customWidth="1"/>
    <col min="5637" max="5637" width="25.5" style="76" customWidth="1"/>
    <col min="5638" max="5638" width="3.5" style="76" customWidth="1"/>
    <col min="5639" max="5639" width="25.5" style="76" customWidth="1"/>
    <col min="5640" max="5640" width="3.5" style="76" customWidth="1"/>
    <col min="5641" max="5882" width="20.6640625" style="76" customWidth="1"/>
    <col min="5883" max="5883" width="29.5" style="76" customWidth="1"/>
    <col min="5884" max="5884" width="114.1640625" style="76" customWidth="1"/>
    <col min="5885" max="5885" width="25.5" style="76" customWidth="1"/>
    <col min="5886" max="5886" width="5.33203125" style="76" customWidth="1"/>
    <col min="5887" max="5887" width="25.5" style="76" customWidth="1"/>
    <col min="5888" max="5888" width="4" style="76" customWidth="1"/>
    <col min="5889" max="5889" width="25.5" style="76" customWidth="1"/>
    <col min="5890" max="5890" width="4.1640625" style="76" customWidth="1"/>
    <col min="5891" max="5891" width="25.5" style="76" customWidth="1"/>
    <col min="5892" max="5892" width="3.5" style="76" customWidth="1"/>
    <col min="5893" max="5893" width="25.5" style="76" customWidth="1"/>
    <col min="5894" max="5894" width="3.5" style="76" customWidth="1"/>
    <col min="5895" max="5895" width="25.5" style="76" customWidth="1"/>
    <col min="5896" max="5896" width="3.5" style="76" customWidth="1"/>
    <col min="5897" max="6138" width="20.6640625" style="76" customWidth="1"/>
    <col min="6139" max="6139" width="29.5" style="76" customWidth="1"/>
    <col min="6140" max="6140" width="114.1640625" style="76" customWidth="1"/>
    <col min="6141" max="6141" width="25.5" style="76" customWidth="1"/>
    <col min="6142" max="6142" width="5.33203125" style="76" customWidth="1"/>
    <col min="6143" max="6143" width="25.5" style="76" customWidth="1"/>
    <col min="6144" max="6144" width="4" style="76" customWidth="1"/>
    <col min="6145" max="6145" width="25.5" style="76" customWidth="1"/>
    <col min="6146" max="6146" width="4.1640625" style="76" customWidth="1"/>
    <col min="6147" max="6147" width="25.5" style="76" customWidth="1"/>
    <col min="6148" max="6148" width="3.5" style="76" customWidth="1"/>
    <col min="6149" max="6149" width="25.5" style="76" customWidth="1"/>
    <col min="6150" max="6150" width="3.5" style="76" customWidth="1"/>
    <col min="6151" max="6151" width="25.5" style="76" customWidth="1"/>
    <col min="6152" max="6152" width="3.5" style="76" customWidth="1"/>
    <col min="6153" max="6394" width="20.6640625" style="76" customWidth="1"/>
    <col min="6395" max="6395" width="29.5" style="76" customWidth="1"/>
    <col min="6396" max="6396" width="114.1640625" style="76" customWidth="1"/>
    <col min="6397" max="6397" width="25.5" style="76" customWidth="1"/>
    <col min="6398" max="6398" width="5.33203125" style="76" customWidth="1"/>
    <col min="6399" max="6399" width="25.5" style="76" customWidth="1"/>
    <col min="6400" max="6400" width="4" style="76" customWidth="1"/>
    <col min="6401" max="6401" width="25.5" style="76" customWidth="1"/>
    <col min="6402" max="6402" width="4.1640625" style="76" customWidth="1"/>
    <col min="6403" max="6403" width="25.5" style="76" customWidth="1"/>
    <col min="6404" max="6404" width="3.5" style="76" customWidth="1"/>
    <col min="6405" max="6405" width="25.5" style="76" customWidth="1"/>
    <col min="6406" max="6406" width="3.5" style="76" customWidth="1"/>
    <col min="6407" max="6407" width="25.5" style="76" customWidth="1"/>
    <col min="6408" max="6408" width="3.5" style="76" customWidth="1"/>
    <col min="6409" max="6650" width="20.6640625" style="76" customWidth="1"/>
    <col min="6651" max="6651" width="29.5" style="76" customWidth="1"/>
    <col min="6652" max="6652" width="114.1640625" style="76" customWidth="1"/>
    <col min="6653" max="6653" width="25.5" style="76" customWidth="1"/>
    <col min="6654" max="6654" width="5.33203125" style="76" customWidth="1"/>
    <col min="6655" max="6655" width="25.5" style="76" customWidth="1"/>
    <col min="6656" max="6656" width="4" style="76" customWidth="1"/>
    <col min="6657" max="6657" width="25.5" style="76" customWidth="1"/>
    <col min="6658" max="6658" width="4.1640625" style="76" customWidth="1"/>
    <col min="6659" max="6659" width="25.5" style="76" customWidth="1"/>
    <col min="6660" max="6660" width="3.5" style="76" customWidth="1"/>
    <col min="6661" max="6661" width="25.5" style="76" customWidth="1"/>
    <col min="6662" max="6662" width="3.5" style="76" customWidth="1"/>
    <col min="6663" max="6663" width="25.5" style="76" customWidth="1"/>
    <col min="6664" max="6664" width="3.5" style="76" customWidth="1"/>
    <col min="6665" max="6906" width="20.6640625" style="76" customWidth="1"/>
    <col min="6907" max="6907" width="29.5" style="76" customWidth="1"/>
    <col min="6908" max="6908" width="114.1640625" style="76" customWidth="1"/>
    <col min="6909" max="6909" width="25.5" style="76" customWidth="1"/>
    <col min="6910" max="6910" width="5.33203125" style="76" customWidth="1"/>
    <col min="6911" max="6911" width="25.5" style="76" customWidth="1"/>
    <col min="6912" max="6912" width="4" style="76" customWidth="1"/>
    <col min="6913" max="6913" width="25.5" style="76" customWidth="1"/>
    <col min="6914" max="6914" width="4.1640625" style="76" customWidth="1"/>
    <col min="6915" max="6915" width="25.5" style="76" customWidth="1"/>
    <col min="6916" max="6916" width="3.5" style="76" customWidth="1"/>
    <col min="6917" max="6917" width="25.5" style="76" customWidth="1"/>
    <col min="6918" max="6918" width="3.5" style="76" customWidth="1"/>
    <col min="6919" max="6919" width="25.5" style="76" customWidth="1"/>
    <col min="6920" max="6920" width="3.5" style="76" customWidth="1"/>
    <col min="6921" max="7162" width="20.6640625" style="76" customWidth="1"/>
    <col min="7163" max="7163" width="29.5" style="76" customWidth="1"/>
    <col min="7164" max="7164" width="114.1640625" style="76" customWidth="1"/>
    <col min="7165" max="7165" width="25.5" style="76" customWidth="1"/>
    <col min="7166" max="7166" width="5.33203125" style="76" customWidth="1"/>
    <col min="7167" max="7167" width="25.5" style="76" customWidth="1"/>
    <col min="7168" max="7168" width="4" style="76" customWidth="1"/>
    <col min="7169" max="7169" width="25.5" style="76" customWidth="1"/>
    <col min="7170" max="7170" width="4.1640625" style="76" customWidth="1"/>
    <col min="7171" max="7171" width="25.5" style="76" customWidth="1"/>
    <col min="7172" max="7172" width="3.5" style="76" customWidth="1"/>
    <col min="7173" max="7173" width="25.5" style="76" customWidth="1"/>
    <col min="7174" max="7174" width="3.5" style="76" customWidth="1"/>
    <col min="7175" max="7175" width="25.5" style="76" customWidth="1"/>
    <col min="7176" max="7176" width="3.5" style="76" customWidth="1"/>
    <col min="7177" max="7418" width="20.6640625" style="76" customWidth="1"/>
    <col min="7419" max="7419" width="29.5" style="76" customWidth="1"/>
    <col min="7420" max="7420" width="114.1640625" style="76" customWidth="1"/>
    <col min="7421" max="7421" width="25.5" style="76" customWidth="1"/>
    <col min="7422" max="7422" width="5.33203125" style="76" customWidth="1"/>
    <col min="7423" max="7423" width="25.5" style="76" customWidth="1"/>
    <col min="7424" max="7424" width="4" style="76" customWidth="1"/>
    <col min="7425" max="7425" width="25.5" style="76" customWidth="1"/>
    <col min="7426" max="7426" width="4.1640625" style="76" customWidth="1"/>
    <col min="7427" max="7427" width="25.5" style="76" customWidth="1"/>
    <col min="7428" max="7428" width="3.5" style="76" customWidth="1"/>
    <col min="7429" max="7429" width="25.5" style="76" customWidth="1"/>
    <col min="7430" max="7430" width="3.5" style="76" customWidth="1"/>
    <col min="7431" max="7431" width="25.5" style="76" customWidth="1"/>
    <col min="7432" max="7432" width="3.5" style="76" customWidth="1"/>
    <col min="7433" max="7674" width="20.6640625" style="76" customWidth="1"/>
    <col min="7675" max="7675" width="29.5" style="76" customWidth="1"/>
    <col min="7676" max="7676" width="114.1640625" style="76" customWidth="1"/>
    <col min="7677" max="7677" width="25.5" style="76" customWidth="1"/>
    <col min="7678" max="7678" width="5.33203125" style="76" customWidth="1"/>
    <col min="7679" max="7679" width="25.5" style="76" customWidth="1"/>
    <col min="7680" max="7680" width="4" style="76" customWidth="1"/>
    <col min="7681" max="7681" width="25.5" style="76" customWidth="1"/>
    <col min="7682" max="7682" width="4.1640625" style="76" customWidth="1"/>
    <col min="7683" max="7683" width="25.5" style="76" customWidth="1"/>
    <col min="7684" max="7684" width="3.5" style="76" customWidth="1"/>
    <col min="7685" max="7685" width="25.5" style="76" customWidth="1"/>
    <col min="7686" max="7686" width="3.5" style="76" customWidth="1"/>
    <col min="7687" max="7687" width="25.5" style="76" customWidth="1"/>
    <col min="7688" max="7688" width="3.5" style="76" customWidth="1"/>
    <col min="7689" max="7930" width="20.6640625" style="76" customWidth="1"/>
    <col min="7931" max="7931" width="29.5" style="76" customWidth="1"/>
    <col min="7932" max="7932" width="114.1640625" style="76" customWidth="1"/>
    <col min="7933" max="7933" width="25.5" style="76" customWidth="1"/>
    <col min="7934" max="7934" width="5.33203125" style="76" customWidth="1"/>
    <col min="7935" max="7935" width="25.5" style="76" customWidth="1"/>
    <col min="7936" max="7936" width="4" style="76" customWidth="1"/>
    <col min="7937" max="7937" width="25.5" style="76" customWidth="1"/>
    <col min="7938" max="7938" width="4.1640625" style="76" customWidth="1"/>
    <col min="7939" max="7939" width="25.5" style="76" customWidth="1"/>
    <col min="7940" max="7940" width="3.5" style="76" customWidth="1"/>
    <col min="7941" max="7941" width="25.5" style="76" customWidth="1"/>
    <col min="7942" max="7942" width="3.5" style="76" customWidth="1"/>
    <col min="7943" max="7943" width="25.5" style="76" customWidth="1"/>
    <col min="7944" max="7944" width="3.5" style="76" customWidth="1"/>
    <col min="7945" max="8186" width="20.6640625" style="76" customWidth="1"/>
    <col min="8187" max="8187" width="29.5" style="76" customWidth="1"/>
    <col min="8188" max="8188" width="114.1640625" style="76" customWidth="1"/>
    <col min="8189" max="8189" width="25.5" style="76" customWidth="1"/>
    <col min="8190" max="8190" width="5.33203125" style="76" customWidth="1"/>
    <col min="8191" max="8191" width="25.5" style="76" customWidth="1"/>
    <col min="8192" max="8192" width="4" style="76" customWidth="1"/>
    <col min="8193" max="8193" width="25.5" style="76" customWidth="1"/>
    <col min="8194" max="8194" width="4.1640625" style="76" customWidth="1"/>
    <col min="8195" max="8195" width="25.5" style="76" customWidth="1"/>
    <col min="8196" max="8196" width="3.5" style="76" customWidth="1"/>
    <col min="8197" max="8197" width="25.5" style="76" customWidth="1"/>
    <col min="8198" max="8198" width="3.5" style="76" customWidth="1"/>
    <col min="8199" max="8199" width="25.5" style="76" customWidth="1"/>
    <col min="8200" max="8200" width="3.5" style="76" customWidth="1"/>
    <col min="8201" max="8442" width="20.6640625" style="76" customWidth="1"/>
    <col min="8443" max="8443" width="29.5" style="76" customWidth="1"/>
    <col min="8444" max="8444" width="114.1640625" style="76" customWidth="1"/>
    <col min="8445" max="8445" width="25.5" style="76" customWidth="1"/>
    <col min="8446" max="8446" width="5.33203125" style="76" customWidth="1"/>
    <col min="8447" max="8447" width="25.5" style="76" customWidth="1"/>
    <col min="8448" max="8448" width="4" style="76" customWidth="1"/>
    <col min="8449" max="8449" width="25.5" style="76" customWidth="1"/>
    <col min="8450" max="8450" width="4.1640625" style="76" customWidth="1"/>
    <col min="8451" max="8451" width="25.5" style="76" customWidth="1"/>
    <col min="8452" max="8452" width="3.5" style="76" customWidth="1"/>
    <col min="8453" max="8453" width="25.5" style="76" customWidth="1"/>
    <col min="8454" max="8454" width="3.5" style="76" customWidth="1"/>
    <col min="8455" max="8455" width="25.5" style="76" customWidth="1"/>
    <col min="8456" max="8456" width="3.5" style="76" customWidth="1"/>
    <col min="8457" max="8698" width="20.6640625" style="76" customWidth="1"/>
    <col min="8699" max="8699" width="29.5" style="76" customWidth="1"/>
    <col min="8700" max="8700" width="114.1640625" style="76" customWidth="1"/>
    <col min="8701" max="8701" width="25.5" style="76" customWidth="1"/>
    <col min="8702" max="8702" width="5.33203125" style="76" customWidth="1"/>
    <col min="8703" max="8703" width="25.5" style="76" customWidth="1"/>
    <col min="8704" max="8704" width="4" style="76" customWidth="1"/>
    <col min="8705" max="8705" width="25.5" style="76" customWidth="1"/>
    <col min="8706" max="8706" width="4.1640625" style="76" customWidth="1"/>
    <col min="8707" max="8707" width="25.5" style="76" customWidth="1"/>
    <col min="8708" max="8708" width="3.5" style="76" customWidth="1"/>
    <col min="8709" max="8709" width="25.5" style="76" customWidth="1"/>
    <col min="8710" max="8710" width="3.5" style="76" customWidth="1"/>
    <col min="8711" max="8711" width="25.5" style="76" customWidth="1"/>
    <col min="8712" max="8712" width="3.5" style="76" customWidth="1"/>
    <col min="8713" max="8954" width="20.6640625" style="76" customWidth="1"/>
    <col min="8955" max="8955" width="29.5" style="76" customWidth="1"/>
    <col min="8956" max="8956" width="114.1640625" style="76" customWidth="1"/>
    <col min="8957" max="8957" width="25.5" style="76" customWidth="1"/>
    <col min="8958" max="8958" width="5.33203125" style="76" customWidth="1"/>
    <col min="8959" max="8959" width="25.5" style="76" customWidth="1"/>
    <col min="8960" max="8960" width="4" style="76" customWidth="1"/>
    <col min="8961" max="8961" width="25.5" style="76" customWidth="1"/>
    <col min="8962" max="8962" width="4.1640625" style="76" customWidth="1"/>
    <col min="8963" max="8963" width="25.5" style="76" customWidth="1"/>
    <col min="8964" max="8964" width="3.5" style="76" customWidth="1"/>
    <col min="8965" max="8965" width="25.5" style="76" customWidth="1"/>
    <col min="8966" max="8966" width="3.5" style="76" customWidth="1"/>
    <col min="8967" max="8967" width="25.5" style="76" customWidth="1"/>
    <col min="8968" max="8968" width="3.5" style="76" customWidth="1"/>
    <col min="8969" max="9210" width="20.6640625" style="76" customWidth="1"/>
    <col min="9211" max="9211" width="29.5" style="76" customWidth="1"/>
    <col min="9212" max="9212" width="114.1640625" style="76" customWidth="1"/>
    <col min="9213" max="9213" width="25.5" style="76" customWidth="1"/>
    <col min="9214" max="9214" width="5.33203125" style="76" customWidth="1"/>
    <col min="9215" max="9215" width="25.5" style="76" customWidth="1"/>
    <col min="9216" max="9216" width="4" style="76" customWidth="1"/>
    <col min="9217" max="9217" width="25.5" style="76" customWidth="1"/>
    <col min="9218" max="9218" width="4.1640625" style="76" customWidth="1"/>
    <col min="9219" max="9219" width="25.5" style="76" customWidth="1"/>
    <col min="9220" max="9220" width="3.5" style="76" customWidth="1"/>
    <col min="9221" max="9221" width="25.5" style="76" customWidth="1"/>
    <col min="9222" max="9222" width="3.5" style="76" customWidth="1"/>
    <col min="9223" max="9223" width="25.5" style="76" customWidth="1"/>
    <col min="9224" max="9224" width="3.5" style="76" customWidth="1"/>
    <col min="9225" max="9466" width="20.6640625" style="76" customWidth="1"/>
    <col min="9467" max="9467" width="29.5" style="76" customWidth="1"/>
    <col min="9468" max="9468" width="114.1640625" style="76" customWidth="1"/>
    <col min="9469" max="9469" width="25.5" style="76" customWidth="1"/>
    <col min="9470" max="9470" width="5.33203125" style="76" customWidth="1"/>
    <col min="9471" max="9471" width="25.5" style="76" customWidth="1"/>
    <col min="9472" max="9472" width="4" style="76" customWidth="1"/>
    <col min="9473" max="9473" width="25.5" style="76" customWidth="1"/>
    <col min="9474" max="9474" width="4.1640625" style="76" customWidth="1"/>
    <col min="9475" max="9475" width="25.5" style="76" customWidth="1"/>
    <col min="9476" max="9476" width="3.5" style="76" customWidth="1"/>
    <col min="9477" max="9477" width="25.5" style="76" customWidth="1"/>
    <col min="9478" max="9478" width="3.5" style="76" customWidth="1"/>
    <col min="9479" max="9479" width="25.5" style="76" customWidth="1"/>
    <col min="9480" max="9480" width="3.5" style="76" customWidth="1"/>
    <col min="9481" max="9722" width="20.6640625" style="76" customWidth="1"/>
    <col min="9723" max="9723" width="29.5" style="76" customWidth="1"/>
    <col min="9724" max="9724" width="114.1640625" style="76" customWidth="1"/>
    <col min="9725" max="9725" width="25.5" style="76" customWidth="1"/>
    <col min="9726" max="9726" width="5.33203125" style="76" customWidth="1"/>
    <col min="9727" max="9727" width="25.5" style="76" customWidth="1"/>
    <col min="9728" max="9728" width="4" style="76" customWidth="1"/>
    <col min="9729" max="9729" width="25.5" style="76" customWidth="1"/>
    <col min="9730" max="9730" width="4.1640625" style="76" customWidth="1"/>
    <col min="9731" max="9731" width="25.5" style="76" customWidth="1"/>
    <col min="9732" max="9732" width="3.5" style="76" customWidth="1"/>
    <col min="9733" max="9733" width="25.5" style="76" customWidth="1"/>
    <col min="9734" max="9734" width="3.5" style="76" customWidth="1"/>
    <col min="9735" max="9735" width="25.5" style="76" customWidth="1"/>
    <col min="9736" max="9736" width="3.5" style="76" customWidth="1"/>
    <col min="9737" max="9978" width="20.6640625" style="76" customWidth="1"/>
    <col min="9979" max="9979" width="29.5" style="76" customWidth="1"/>
    <col min="9980" max="9980" width="114.1640625" style="76" customWidth="1"/>
    <col min="9981" max="9981" width="25.5" style="76" customWidth="1"/>
    <col min="9982" max="9982" width="5.33203125" style="76" customWidth="1"/>
    <col min="9983" max="9983" width="25.5" style="76" customWidth="1"/>
    <col min="9984" max="9984" width="4" style="76" customWidth="1"/>
    <col min="9985" max="9985" width="25.5" style="76" customWidth="1"/>
    <col min="9986" max="9986" width="4.1640625" style="76" customWidth="1"/>
    <col min="9987" max="9987" width="25.5" style="76" customWidth="1"/>
    <col min="9988" max="9988" width="3.5" style="76" customWidth="1"/>
    <col min="9989" max="9989" width="25.5" style="76" customWidth="1"/>
    <col min="9990" max="9990" width="3.5" style="76" customWidth="1"/>
    <col min="9991" max="9991" width="25.5" style="76" customWidth="1"/>
    <col min="9992" max="9992" width="3.5" style="76" customWidth="1"/>
    <col min="9993" max="10234" width="20.6640625" style="76" customWidth="1"/>
    <col min="10235" max="10235" width="29.5" style="76" customWidth="1"/>
    <col min="10236" max="10236" width="114.1640625" style="76" customWidth="1"/>
    <col min="10237" max="10237" width="25.5" style="76" customWidth="1"/>
    <col min="10238" max="10238" width="5.33203125" style="76" customWidth="1"/>
    <col min="10239" max="10239" width="25.5" style="76" customWidth="1"/>
    <col min="10240" max="10240" width="4" style="76" customWidth="1"/>
    <col min="10241" max="10241" width="25.5" style="76" customWidth="1"/>
    <col min="10242" max="10242" width="4.1640625" style="76" customWidth="1"/>
    <col min="10243" max="10243" width="25.5" style="76" customWidth="1"/>
    <col min="10244" max="10244" width="3.5" style="76" customWidth="1"/>
    <col min="10245" max="10245" width="25.5" style="76" customWidth="1"/>
    <col min="10246" max="10246" width="3.5" style="76" customWidth="1"/>
    <col min="10247" max="10247" width="25.5" style="76" customWidth="1"/>
    <col min="10248" max="10248" width="3.5" style="76" customWidth="1"/>
    <col min="10249" max="10490" width="20.6640625" style="76" customWidth="1"/>
    <col min="10491" max="10491" width="29.5" style="76" customWidth="1"/>
    <col min="10492" max="10492" width="114.1640625" style="76" customWidth="1"/>
    <col min="10493" max="10493" width="25.5" style="76" customWidth="1"/>
    <col min="10494" max="10494" width="5.33203125" style="76" customWidth="1"/>
    <col min="10495" max="10495" width="25.5" style="76" customWidth="1"/>
    <col min="10496" max="10496" width="4" style="76" customWidth="1"/>
    <col min="10497" max="10497" width="25.5" style="76" customWidth="1"/>
    <col min="10498" max="10498" width="4.1640625" style="76" customWidth="1"/>
    <col min="10499" max="10499" width="25.5" style="76" customWidth="1"/>
    <col min="10500" max="10500" width="3.5" style="76" customWidth="1"/>
    <col min="10501" max="10501" width="25.5" style="76" customWidth="1"/>
    <col min="10502" max="10502" width="3.5" style="76" customWidth="1"/>
    <col min="10503" max="10503" width="25.5" style="76" customWidth="1"/>
    <col min="10504" max="10504" width="3.5" style="76" customWidth="1"/>
    <col min="10505" max="10746" width="20.6640625" style="76" customWidth="1"/>
    <col min="10747" max="10747" width="29.5" style="76" customWidth="1"/>
    <col min="10748" max="10748" width="114.1640625" style="76" customWidth="1"/>
    <col min="10749" max="10749" width="25.5" style="76" customWidth="1"/>
    <col min="10750" max="10750" width="5.33203125" style="76" customWidth="1"/>
    <col min="10751" max="10751" width="25.5" style="76" customWidth="1"/>
    <col min="10752" max="10752" width="4" style="76" customWidth="1"/>
    <col min="10753" max="10753" width="25.5" style="76" customWidth="1"/>
    <col min="10754" max="10754" width="4.1640625" style="76" customWidth="1"/>
    <col min="10755" max="10755" width="25.5" style="76" customWidth="1"/>
    <col min="10756" max="10756" width="3.5" style="76" customWidth="1"/>
    <col min="10757" max="10757" width="25.5" style="76" customWidth="1"/>
    <col min="10758" max="10758" width="3.5" style="76" customWidth="1"/>
    <col min="10759" max="10759" width="25.5" style="76" customWidth="1"/>
    <col min="10760" max="10760" width="3.5" style="76" customWidth="1"/>
    <col min="10761" max="11002" width="20.6640625" style="76" customWidth="1"/>
    <col min="11003" max="11003" width="29.5" style="76" customWidth="1"/>
    <col min="11004" max="11004" width="114.1640625" style="76" customWidth="1"/>
    <col min="11005" max="11005" width="25.5" style="76" customWidth="1"/>
    <col min="11006" max="11006" width="5.33203125" style="76" customWidth="1"/>
    <col min="11007" max="11007" width="25.5" style="76" customWidth="1"/>
    <col min="11008" max="11008" width="4" style="76" customWidth="1"/>
    <col min="11009" max="11009" width="25.5" style="76" customWidth="1"/>
    <col min="11010" max="11010" width="4.1640625" style="76" customWidth="1"/>
    <col min="11011" max="11011" width="25.5" style="76" customWidth="1"/>
    <col min="11012" max="11012" width="3.5" style="76" customWidth="1"/>
    <col min="11013" max="11013" width="25.5" style="76" customWidth="1"/>
    <col min="11014" max="11014" width="3.5" style="76" customWidth="1"/>
    <col min="11015" max="11015" width="25.5" style="76" customWidth="1"/>
    <col min="11016" max="11016" width="3.5" style="76" customWidth="1"/>
    <col min="11017" max="11258" width="20.6640625" style="76" customWidth="1"/>
    <col min="11259" max="11259" width="29.5" style="76" customWidth="1"/>
    <col min="11260" max="11260" width="114.1640625" style="76" customWidth="1"/>
    <col min="11261" max="11261" width="25.5" style="76" customWidth="1"/>
    <col min="11262" max="11262" width="5.33203125" style="76" customWidth="1"/>
    <col min="11263" max="11263" width="25.5" style="76" customWidth="1"/>
    <col min="11264" max="11264" width="4" style="76" customWidth="1"/>
    <col min="11265" max="11265" width="25.5" style="76" customWidth="1"/>
    <col min="11266" max="11266" width="4.1640625" style="76" customWidth="1"/>
    <col min="11267" max="11267" width="25.5" style="76" customWidth="1"/>
    <col min="11268" max="11268" width="3.5" style="76" customWidth="1"/>
    <col min="11269" max="11269" width="25.5" style="76" customWidth="1"/>
    <col min="11270" max="11270" width="3.5" style="76" customWidth="1"/>
    <col min="11271" max="11271" width="25.5" style="76" customWidth="1"/>
    <col min="11272" max="11272" width="3.5" style="76" customWidth="1"/>
    <col min="11273" max="11514" width="20.6640625" style="76" customWidth="1"/>
    <col min="11515" max="11515" width="29.5" style="76" customWidth="1"/>
    <col min="11516" max="11516" width="114.1640625" style="76" customWidth="1"/>
    <col min="11517" max="11517" width="25.5" style="76" customWidth="1"/>
    <col min="11518" max="11518" width="5.33203125" style="76" customWidth="1"/>
    <col min="11519" max="11519" width="25.5" style="76" customWidth="1"/>
    <col min="11520" max="11520" width="4" style="76" customWidth="1"/>
    <col min="11521" max="11521" width="25.5" style="76" customWidth="1"/>
    <col min="11522" max="11522" width="4.1640625" style="76" customWidth="1"/>
    <col min="11523" max="11523" width="25.5" style="76" customWidth="1"/>
    <col min="11524" max="11524" width="3.5" style="76" customWidth="1"/>
    <col min="11525" max="11525" width="25.5" style="76" customWidth="1"/>
    <col min="11526" max="11526" width="3.5" style="76" customWidth="1"/>
    <col min="11527" max="11527" width="25.5" style="76" customWidth="1"/>
    <col min="11528" max="11528" width="3.5" style="76" customWidth="1"/>
    <col min="11529" max="11770" width="20.6640625" style="76" customWidth="1"/>
    <col min="11771" max="11771" width="29.5" style="76" customWidth="1"/>
    <col min="11772" max="11772" width="114.1640625" style="76" customWidth="1"/>
    <col min="11773" max="11773" width="25.5" style="76" customWidth="1"/>
    <col min="11774" max="11774" width="5.33203125" style="76" customWidth="1"/>
    <col min="11775" max="11775" width="25.5" style="76" customWidth="1"/>
    <col min="11776" max="11776" width="4" style="76" customWidth="1"/>
    <col min="11777" max="11777" width="25.5" style="76" customWidth="1"/>
    <col min="11778" max="11778" width="4.1640625" style="76" customWidth="1"/>
    <col min="11779" max="11779" width="25.5" style="76" customWidth="1"/>
    <col min="11780" max="11780" width="3.5" style="76" customWidth="1"/>
    <col min="11781" max="11781" width="25.5" style="76" customWidth="1"/>
    <col min="11782" max="11782" width="3.5" style="76" customWidth="1"/>
    <col min="11783" max="11783" width="25.5" style="76" customWidth="1"/>
    <col min="11784" max="11784" width="3.5" style="76" customWidth="1"/>
    <col min="11785" max="12026" width="20.6640625" style="76" customWidth="1"/>
    <col min="12027" max="12027" width="29.5" style="76" customWidth="1"/>
    <col min="12028" max="12028" width="114.1640625" style="76" customWidth="1"/>
    <col min="12029" max="12029" width="25.5" style="76" customWidth="1"/>
    <col min="12030" max="12030" width="5.33203125" style="76" customWidth="1"/>
    <col min="12031" max="12031" width="25.5" style="76" customWidth="1"/>
    <col min="12032" max="12032" width="4" style="76" customWidth="1"/>
    <col min="12033" max="12033" width="25.5" style="76" customWidth="1"/>
    <col min="12034" max="12034" width="4.1640625" style="76" customWidth="1"/>
    <col min="12035" max="12035" width="25.5" style="76" customWidth="1"/>
    <col min="12036" max="12036" width="3.5" style="76" customWidth="1"/>
    <col min="12037" max="12037" width="25.5" style="76" customWidth="1"/>
    <col min="12038" max="12038" width="3.5" style="76" customWidth="1"/>
    <col min="12039" max="12039" width="25.5" style="76" customWidth="1"/>
    <col min="12040" max="12040" width="3.5" style="76" customWidth="1"/>
    <col min="12041" max="12282" width="20.6640625" style="76" customWidth="1"/>
    <col min="12283" max="12283" width="29.5" style="76" customWidth="1"/>
    <col min="12284" max="12284" width="114.1640625" style="76" customWidth="1"/>
    <col min="12285" max="12285" width="25.5" style="76" customWidth="1"/>
    <col min="12286" max="12286" width="5.33203125" style="76" customWidth="1"/>
    <col min="12287" max="12287" width="25.5" style="76" customWidth="1"/>
    <col min="12288" max="12288" width="4" style="76" customWidth="1"/>
    <col min="12289" max="12289" width="25.5" style="76" customWidth="1"/>
    <col min="12290" max="12290" width="4.1640625" style="76" customWidth="1"/>
    <col min="12291" max="12291" width="25.5" style="76" customWidth="1"/>
    <col min="12292" max="12292" width="3.5" style="76" customWidth="1"/>
    <col min="12293" max="12293" width="25.5" style="76" customWidth="1"/>
    <col min="12294" max="12294" width="3.5" style="76" customWidth="1"/>
    <col min="12295" max="12295" width="25.5" style="76" customWidth="1"/>
    <col min="12296" max="12296" width="3.5" style="76" customWidth="1"/>
    <col min="12297" max="12538" width="20.6640625" style="76" customWidth="1"/>
    <col min="12539" max="12539" width="29.5" style="76" customWidth="1"/>
    <col min="12540" max="12540" width="114.1640625" style="76" customWidth="1"/>
    <col min="12541" max="12541" width="25.5" style="76" customWidth="1"/>
    <col min="12542" max="12542" width="5.33203125" style="76" customWidth="1"/>
    <col min="12543" max="12543" width="25.5" style="76" customWidth="1"/>
    <col min="12544" max="12544" width="4" style="76" customWidth="1"/>
    <col min="12545" max="12545" width="25.5" style="76" customWidth="1"/>
    <col min="12546" max="12546" width="4.1640625" style="76" customWidth="1"/>
    <col min="12547" max="12547" width="25.5" style="76" customWidth="1"/>
    <col min="12548" max="12548" width="3.5" style="76" customWidth="1"/>
    <col min="12549" max="12549" width="25.5" style="76" customWidth="1"/>
    <col min="12550" max="12550" width="3.5" style="76" customWidth="1"/>
    <col min="12551" max="12551" width="25.5" style="76" customWidth="1"/>
    <col min="12552" max="12552" width="3.5" style="76" customWidth="1"/>
    <col min="12553" max="12794" width="20.6640625" style="76" customWidth="1"/>
    <col min="12795" max="12795" width="29.5" style="76" customWidth="1"/>
    <col min="12796" max="12796" width="114.1640625" style="76" customWidth="1"/>
    <col min="12797" max="12797" width="25.5" style="76" customWidth="1"/>
    <col min="12798" max="12798" width="5.33203125" style="76" customWidth="1"/>
    <col min="12799" max="12799" width="25.5" style="76" customWidth="1"/>
    <col min="12800" max="12800" width="4" style="76" customWidth="1"/>
    <col min="12801" max="12801" width="25.5" style="76" customWidth="1"/>
    <col min="12802" max="12802" width="4.1640625" style="76" customWidth="1"/>
    <col min="12803" max="12803" width="25.5" style="76" customWidth="1"/>
    <col min="12804" max="12804" width="3.5" style="76" customWidth="1"/>
    <col min="12805" max="12805" width="25.5" style="76" customWidth="1"/>
    <col min="12806" max="12806" width="3.5" style="76" customWidth="1"/>
    <col min="12807" max="12807" width="25.5" style="76" customWidth="1"/>
    <col min="12808" max="12808" width="3.5" style="76" customWidth="1"/>
    <col min="12809" max="13050" width="20.6640625" style="76" customWidth="1"/>
    <col min="13051" max="13051" width="29.5" style="76" customWidth="1"/>
    <col min="13052" max="13052" width="114.1640625" style="76" customWidth="1"/>
    <col min="13053" max="13053" width="25.5" style="76" customWidth="1"/>
    <col min="13054" max="13054" width="5.33203125" style="76" customWidth="1"/>
    <col min="13055" max="13055" width="25.5" style="76" customWidth="1"/>
    <col min="13056" max="13056" width="4" style="76" customWidth="1"/>
    <col min="13057" max="13057" width="25.5" style="76" customWidth="1"/>
    <col min="13058" max="13058" width="4.1640625" style="76" customWidth="1"/>
    <col min="13059" max="13059" width="25.5" style="76" customWidth="1"/>
    <col min="13060" max="13060" width="3.5" style="76" customWidth="1"/>
    <col min="13061" max="13061" width="25.5" style="76" customWidth="1"/>
    <col min="13062" max="13062" width="3.5" style="76" customWidth="1"/>
    <col min="13063" max="13063" width="25.5" style="76" customWidth="1"/>
    <col min="13064" max="13064" width="3.5" style="76" customWidth="1"/>
    <col min="13065" max="13306" width="20.6640625" style="76" customWidth="1"/>
    <col min="13307" max="13307" width="29.5" style="76" customWidth="1"/>
    <col min="13308" max="13308" width="114.1640625" style="76" customWidth="1"/>
    <col min="13309" max="13309" width="25.5" style="76" customWidth="1"/>
    <col min="13310" max="13310" width="5.33203125" style="76" customWidth="1"/>
    <col min="13311" max="13311" width="25.5" style="76" customWidth="1"/>
    <col min="13312" max="13312" width="4" style="76" customWidth="1"/>
    <col min="13313" max="13313" width="25.5" style="76" customWidth="1"/>
    <col min="13314" max="13314" width="4.1640625" style="76" customWidth="1"/>
    <col min="13315" max="13315" width="25.5" style="76" customWidth="1"/>
    <col min="13316" max="13316" width="3.5" style="76" customWidth="1"/>
    <col min="13317" max="13317" width="25.5" style="76" customWidth="1"/>
    <col min="13318" max="13318" width="3.5" style="76" customWidth="1"/>
    <col min="13319" max="13319" width="25.5" style="76" customWidth="1"/>
    <col min="13320" max="13320" width="3.5" style="76" customWidth="1"/>
    <col min="13321" max="13562" width="20.6640625" style="76" customWidth="1"/>
    <col min="13563" max="13563" width="29.5" style="76" customWidth="1"/>
    <col min="13564" max="13564" width="114.1640625" style="76" customWidth="1"/>
    <col min="13565" max="13565" width="25.5" style="76" customWidth="1"/>
    <col min="13566" max="13566" width="5.33203125" style="76" customWidth="1"/>
    <col min="13567" max="13567" width="25.5" style="76" customWidth="1"/>
    <col min="13568" max="13568" width="4" style="76" customWidth="1"/>
    <col min="13569" max="13569" width="25.5" style="76" customWidth="1"/>
    <col min="13570" max="13570" width="4.1640625" style="76" customWidth="1"/>
    <col min="13571" max="13571" width="25.5" style="76" customWidth="1"/>
    <col min="13572" max="13572" width="3.5" style="76" customWidth="1"/>
    <col min="13573" max="13573" width="25.5" style="76" customWidth="1"/>
    <col min="13574" max="13574" width="3.5" style="76" customWidth="1"/>
    <col min="13575" max="13575" width="25.5" style="76" customWidth="1"/>
    <col min="13576" max="13576" width="3.5" style="76" customWidth="1"/>
    <col min="13577" max="13818" width="20.6640625" style="76" customWidth="1"/>
    <col min="13819" max="13819" width="29.5" style="76" customWidth="1"/>
    <col min="13820" max="13820" width="114.1640625" style="76" customWidth="1"/>
    <col min="13821" max="13821" width="25.5" style="76" customWidth="1"/>
    <col min="13822" max="13822" width="5.33203125" style="76" customWidth="1"/>
    <col min="13823" max="13823" width="25.5" style="76" customWidth="1"/>
    <col min="13824" max="13824" width="4" style="76" customWidth="1"/>
    <col min="13825" max="13825" width="25.5" style="76" customWidth="1"/>
    <col min="13826" max="13826" width="4.1640625" style="76" customWidth="1"/>
    <col min="13827" max="13827" width="25.5" style="76" customWidth="1"/>
    <col min="13828" max="13828" width="3.5" style="76" customWidth="1"/>
    <col min="13829" max="13829" width="25.5" style="76" customWidth="1"/>
    <col min="13830" max="13830" width="3.5" style="76" customWidth="1"/>
    <col min="13831" max="13831" width="25.5" style="76" customWidth="1"/>
    <col min="13832" max="13832" width="3.5" style="76" customWidth="1"/>
    <col min="13833" max="14074" width="20.6640625" style="76" customWidth="1"/>
    <col min="14075" max="14075" width="29.5" style="76" customWidth="1"/>
    <col min="14076" max="14076" width="114.1640625" style="76" customWidth="1"/>
    <col min="14077" max="14077" width="25.5" style="76" customWidth="1"/>
    <col min="14078" max="14078" width="5.33203125" style="76" customWidth="1"/>
    <col min="14079" max="14079" width="25.5" style="76" customWidth="1"/>
    <col min="14080" max="14080" width="4" style="76" customWidth="1"/>
    <col min="14081" max="14081" width="25.5" style="76" customWidth="1"/>
    <col min="14082" max="14082" width="4.1640625" style="76" customWidth="1"/>
    <col min="14083" max="14083" width="25.5" style="76" customWidth="1"/>
    <col min="14084" max="14084" width="3.5" style="76" customWidth="1"/>
    <col min="14085" max="14085" width="25.5" style="76" customWidth="1"/>
    <col min="14086" max="14086" width="3.5" style="76" customWidth="1"/>
    <col min="14087" max="14087" width="25.5" style="76" customWidth="1"/>
    <col min="14088" max="14088" width="3.5" style="76" customWidth="1"/>
    <col min="14089" max="14330" width="20.6640625" style="76" customWidth="1"/>
    <col min="14331" max="14331" width="29.5" style="76" customWidth="1"/>
    <col min="14332" max="14332" width="114.1640625" style="76" customWidth="1"/>
    <col min="14333" max="14333" width="25.5" style="76" customWidth="1"/>
    <col min="14334" max="14334" width="5.33203125" style="76" customWidth="1"/>
    <col min="14335" max="14335" width="25.5" style="76" customWidth="1"/>
    <col min="14336" max="14336" width="4" style="76" customWidth="1"/>
    <col min="14337" max="14337" width="25.5" style="76" customWidth="1"/>
    <col min="14338" max="14338" width="4.1640625" style="76" customWidth="1"/>
    <col min="14339" max="14339" width="25.5" style="76" customWidth="1"/>
    <col min="14340" max="14340" width="3.5" style="76" customWidth="1"/>
    <col min="14341" max="14341" width="25.5" style="76" customWidth="1"/>
    <col min="14342" max="14342" width="3.5" style="76" customWidth="1"/>
    <col min="14343" max="14343" width="25.5" style="76" customWidth="1"/>
    <col min="14344" max="14344" width="3.5" style="76" customWidth="1"/>
    <col min="14345" max="14586" width="20.6640625" style="76" customWidth="1"/>
    <col min="14587" max="14587" width="29.5" style="76" customWidth="1"/>
    <col min="14588" max="14588" width="114.1640625" style="76" customWidth="1"/>
    <col min="14589" max="14589" width="25.5" style="76" customWidth="1"/>
    <col min="14590" max="14590" width="5.33203125" style="76" customWidth="1"/>
    <col min="14591" max="14591" width="25.5" style="76" customWidth="1"/>
    <col min="14592" max="14592" width="4" style="76" customWidth="1"/>
    <col min="14593" max="14593" width="25.5" style="76" customWidth="1"/>
    <col min="14594" max="14594" width="4.1640625" style="76" customWidth="1"/>
    <col min="14595" max="14595" width="25.5" style="76" customWidth="1"/>
    <col min="14596" max="14596" width="3.5" style="76" customWidth="1"/>
    <col min="14597" max="14597" width="25.5" style="76" customWidth="1"/>
    <col min="14598" max="14598" width="3.5" style="76" customWidth="1"/>
    <col min="14599" max="14599" width="25.5" style="76" customWidth="1"/>
    <col min="14600" max="14600" width="3.5" style="76" customWidth="1"/>
    <col min="14601" max="14842" width="20.6640625" style="76" customWidth="1"/>
    <col min="14843" max="14843" width="29.5" style="76" customWidth="1"/>
    <col min="14844" max="14844" width="114.1640625" style="76" customWidth="1"/>
    <col min="14845" max="14845" width="25.5" style="76" customWidth="1"/>
    <col min="14846" max="14846" width="5.33203125" style="76" customWidth="1"/>
    <col min="14847" max="14847" width="25.5" style="76" customWidth="1"/>
    <col min="14848" max="14848" width="4" style="76" customWidth="1"/>
    <col min="14849" max="14849" width="25.5" style="76" customWidth="1"/>
    <col min="14850" max="14850" width="4.1640625" style="76" customWidth="1"/>
    <col min="14851" max="14851" width="25.5" style="76" customWidth="1"/>
    <col min="14852" max="14852" width="3.5" style="76" customWidth="1"/>
    <col min="14853" max="14853" width="25.5" style="76" customWidth="1"/>
    <col min="14854" max="14854" width="3.5" style="76" customWidth="1"/>
    <col min="14855" max="14855" width="25.5" style="76" customWidth="1"/>
    <col min="14856" max="14856" width="3.5" style="76" customWidth="1"/>
    <col min="14857" max="15098" width="20.6640625" style="76" customWidth="1"/>
    <col min="15099" max="15099" width="29.5" style="76" customWidth="1"/>
    <col min="15100" max="15100" width="114.1640625" style="76" customWidth="1"/>
    <col min="15101" max="15101" width="25.5" style="76" customWidth="1"/>
    <col min="15102" max="15102" width="5.33203125" style="76" customWidth="1"/>
    <col min="15103" max="15103" width="25.5" style="76" customWidth="1"/>
    <col min="15104" max="15104" width="4" style="76" customWidth="1"/>
    <col min="15105" max="15105" width="25.5" style="76" customWidth="1"/>
    <col min="15106" max="15106" width="4.1640625" style="76" customWidth="1"/>
    <col min="15107" max="15107" width="25.5" style="76" customWidth="1"/>
    <col min="15108" max="15108" width="3.5" style="76" customWidth="1"/>
    <col min="15109" max="15109" width="25.5" style="76" customWidth="1"/>
    <col min="15110" max="15110" width="3.5" style="76" customWidth="1"/>
    <col min="15111" max="15111" width="25.5" style="76" customWidth="1"/>
    <col min="15112" max="15112" width="3.5" style="76" customWidth="1"/>
    <col min="15113" max="15354" width="20.6640625" style="76" customWidth="1"/>
    <col min="15355" max="15355" width="29.5" style="76" customWidth="1"/>
    <col min="15356" max="15356" width="114.1640625" style="76" customWidth="1"/>
    <col min="15357" max="15357" width="25.5" style="76" customWidth="1"/>
    <col min="15358" max="15358" width="5.33203125" style="76" customWidth="1"/>
    <col min="15359" max="15359" width="25.5" style="76" customWidth="1"/>
    <col min="15360" max="15360" width="4" style="76" customWidth="1"/>
    <col min="15361" max="15361" width="25.5" style="76" customWidth="1"/>
    <col min="15362" max="15362" width="4.1640625" style="76" customWidth="1"/>
    <col min="15363" max="15363" width="25.5" style="76" customWidth="1"/>
    <col min="15364" max="15364" width="3.5" style="76" customWidth="1"/>
    <col min="15365" max="15365" width="25.5" style="76" customWidth="1"/>
    <col min="15366" max="15366" width="3.5" style="76" customWidth="1"/>
    <col min="15367" max="15367" width="25.5" style="76" customWidth="1"/>
    <col min="15368" max="15368" width="3.5" style="76" customWidth="1"/>
    <col min="15369" max="15610" width="20.6640625" style="76" customWidth="1"/>
    <col min="15611" max="15611" width="29.5" style="76" customWidth="1"/>
    <col min="15612" max="15612" width="114.1640625" style="76" customWidth="1"/>
    <col min="15613" max="15613" width="25.5" style="76" customWidth="1"/>
    <col min="15614" max="15614" width="5.33203125" style="76" customWidth="1"/>
    <col min="15615" max="15615" width="25.5" style="76" customWidth="1"/>
    <col min="15616" max="15616" width="4" style="76" customWidth="1"/>
    <col min="15617" max="15617" width="25.5" style="76" customWidth="1"/>
    <col min="15618" max="15618" width="4.1640625" style="76" customWidth="1"/>
    <col min="15619" max="15619" width="25.5" style="76" customWidth="1"/>
    <col min="15620" max="15620" width="3.5" style="76" customWidth="1"/>
    <col min="15621" max="15621" width="25.5" style="76" customWidth="1"/>
    <col min="15622" max="15622" width="3.5" style="76" customWidth="1"/>
    <col min="15623" max="15623" width="25.5" style="76" customWidth="1"/>
    <col min="15624" max="15624" width="3.5" style="76" customWidth="1"/>
    <col min="15625" max="15866" width="20.6640625" style="76" customWidth="1"/>
    <col min="15867" max="15867" width="29.5" style="76" customWidth="1"/>
    <col min="15868" max="15868" width="114.1640625" style="76" customWidth="1"/>
    <col min="15869" max="15869" width="25.5" style="76" customWidth="1"/>
    <col min="15870" max="15870" width="5.33203125" style="76" customWidth="1"/>
    <col min="15871" max="15871" width="25.5" style="76" customWidth="1"/>
    <col min="15872" max="15872" width="4" style="76" customWidth="1"/>
    <col min="15873" max="15873" width="25.5" style="76" customWidth="1"/>
    <col min="15874" max="15874" width="4.1640625" style="76" customWidth="1"/>
    <col min="15875" max="15875" width="25.5" style="76" customWidth="1"/>
    <col min="15876" max="15876" width="3.5" style="76" customWidth="1"/>
    <col min="15877" max="15877" width="25.5" style="76" customWidth="1"/>
    <col min="15878" max="15878" width="3.5" style="76" customWidth="1"/>
    <col min="15879" max="15879" width="25.5" style="76" customWidth="1"/>
    <col min="15880" max="15880" width="3.5" style="76" customWidth="1"/>
    <col min="15881" max="16122" width="20.6640625" style="76" customWidth="1"/>
    <col min="16123" max="16123" width="29.5" style="76" customWidth="1"/>
    <col min="16124" max="16124" width="114.1640625" style="76" customWidth="1"/>
    <col min="16125" max="16125" width="25.5" style="76" customWidth="1"/>
    <col min="16126" max="16126" width="5.33203125" style="76" customWidth="1"/>
    <col min="16127" max="16127" width="25.5" style="76" customWidth="1"/>
    <col min="16128" max="16128" width="4" style="76" customWidth="1"/>
    <col min="16129" max="16129" width="25.5" style="76" customWidth="1"/>
    <col min="16130" max="16130" width="4.1640625" style="76" customWidth="1"/>
    <col min="16131" max="16131" width="25.5" style="76" customWidth="1"/>
    <col min="16132" max="16132" width="3.5" style="76" customWidth="1"/>
    <col min="16133" max="16133" width="25.5" style="76" customWidth="1"/>
    <col min="16134" max="16134" width="3.5" style="76" customWidth="1"/>
    <col min="16135" max="16135" width="25.5" style="76" customWidth="1"/>
    <col min="16136" max="16136" width="3.5" style="76" customWidth="1"/>
    <col min="16137" max="16384" width="20.6640625" style="76" customWidth="1"/>
  </cols>
  <sheetData>
    <row r="1" spans="1:14" s="55" customFormat="1" ht="30" x14ac:dyDescent="0.3">
      <c r="A1" s="54" t="s">
        <v>77</v>
      </c>
      <c r="H1" s="56"/>
      <c r="I1" s="56"/>
    </row>
    <row r="2" spans="1:14" s="58" customFormat="1" ht="16" x14ac:dyDescent="0.15">
      <c r="A2" s="57" t="s">
        <v>78</v>
      </c>
      <c r="H2" s="59"/>
      <c r="I2" s="59"/>
    </row>
    <row r="3" spans="1:14" s="60" customFormat="1" ht="16" x14ac:dyDescent="0.15">
      <c r="A3" s="57" t="s">
        <v>79</v>
      </c>
    </row>
    <row r="4" spans="1:14" s="62" customFormat="1" ht="16" x14ac:dyDescent="0.15">
      <c r="A4" s="57" t="s">
        <v>80</v>
      </c>
      <c r="B4" s="60"/>
      <c r="C4" s="60"/>
      <c r="D4" s="60"/>
      <c r="E4" s="60"/>
      <c r="F4" s="60"/>
      <c r="G4" s="60"/>
      <c r="H4" s="60"/>
      <c r="I4" s="60"/>
      <c r="J4" s="61"/>
    </row>
    <row r="5" spans="1:14" s="62" customFormat="1" ht="16" x14ac:dyDescent="0.15">
      <c r="A5" s="57" t="s">
        <v>81</v>
      </c>
      <c r="B5" s="60"/>
      <c r="C5" s="60"/>
      <c r="D5" s="60"/>
      <c r="E5" s="60"/>
      <c r="F5" s="60"/>
      <c r="G5" s="60"/>
      <c r="H5" s="60"/>
      <c r="I5" s="60"/>
      <c r="J5" s="61"/>
    </row>
    <row r="6" spans="1:14" s="62" customFormat="1" ht="16" x14ac:dyDescent="0.15">
      <c r="A6" s="57" t="s">
        <v>82</v>
      </c>
      <c r="B6" s="60"/>
      <c r="C6" s="60"/>
      <c r="D6" s="60"/>
      <c r="E6" s="60"/>
      <c r="F6" s="60"/>
      <c r="G6" s="60"/>
      <c r="H6" s="60"/>
      <c r="I6" s="60"/>
      <c r="J6" s="61"/>
    </row>
    <row r="7" spans="1:14" s="62" customFormat="1" ht="16" x14ac:dyDescent="0.15">
      <c r="A7" s="57" t="s">
        <v>83</v>
      </c>
      <c r="B7" s="60"/>
      <c r="C7" s="60"/>
      <c r="D7" s="60"/>
      <c r="E7" s="60"/>
      <c r="F7" s="60"/>
      <c r="G7" s="60"/>
      <c r="H7" s="60"/>
      <c r="I7" s="60"/>
      <c r="J7" s="61"/>
    </row>
    <row r="8" spans="1:14" s="62" customFormat="1" ht="16" x14ac:dyDescent="0.15">
      <c r="A8" s="63" t="s">
        <v>84</v>
      </c>
      <c r="B8" s="60"/>
      <c r="C8" s="60"/>
      <c r="D8" s="60"/>
      <c r="E8" s="60"/>
      <c r="F8" s="60"/>
      <c r="G8" s="60"/>
      <c r="H8" s="60"/>
      <c r="I8" s="60"/>
      <c r="J8" s="61"/>
    </row>
    <row r="9" spans="1:14" s="62" customFormat="1" ht="16" x14ac:dyDescent="0.15">
      <c r="A9" s="63" t="s">
        <v>85</v>
      </c>
      <c r="B9" s="60"/>
      <c r="C9" s="60"/>
      <c r="D9" s="60"/>
      <c r="E9" s="60"/>
      <c r="F9" s="60"/>
      <c r="G9" s="60"/>
      <c r="H9" s="60"/>
      <c r="I9" s="60"/>
      <c r="J9" s="61"/>
    </row>
    <row r="10" spans="1:14" s="64" customFormat="1" ht="34" x14ac:dyDescent="0.15">
      <c r="A10" s="4" t="s">
        <v>86</v>
      </c>
      <c r="B10" s="40" t="s">
        <v>87</v>
      </c>
      <c r="C10" s="40" t="s">
        <v>88</v>
      </c>
      <c r="D10" s="40" t="s">
        <v>89</v>
      </c>
      <c r="E10" s="40" t="s">
        <v>90</v>
      </c>
      <c r="F10" s="40" t="s">
        <v>91</v>
      </c>
      <c r="G10" s="40" t="s">
        <v>92</v>
      </c>
      <c r="H10" s="40" t="s">
        <v>93</v>
      </c>
      <c r="I10" s="40" t="s">
        <v>94</v>
      </c>
      <c r="J10" s="40" t="s">
        <v>95</v>
      </c>
      <c r="K10" s="40" t="s">
        <v>96</v>
      </c>
      <c r="L10" s="40" t="s">
        <v>97</v>
      </c>
      <c r="M10" s="40" t="s">
        <v>98</v>
      </c>
      <c r="N10" s="40" t="s">
        <v>99</v>
      </c>
    </row>
    <row r="11" spans="1:14" s="68" customFormat="1" ht="17" x14ac:dyDescent="0.2">
      <c r="A11" s="65" t="s">
        <v>100</v>
      </c>
      <c r="B11" s="66"/>
      <c r="C11" s="66"/>
      <c r="D11" s="66"/>
      <c r="E11" s="66"/>
      <c r="F11" s="66"/>
      <c r="G11" s="66"/>
      <c r="H11" s="66"/>
      <c r="I11" s="66"/>
      <c r="J11" s="66"/>
      <c r="K11" s="67"/>
      <c r="L11" s="67"/>
      <c r="M11" s="67"/>
    </row>
    <row r="12" spans="1:14" s="68" customFormat="1" ht="17" x14ac:dyDescent="0.2">
      <c r="A12" s="65" t="s">
        <v>101</v>
      </c>
      <c r="B12" s="69">
        <v>30509</v>
      </c>
      <c r="C12" s="69">
        <v>33983</v>
      </c>
      <c r="D12" s="69">
        <v>34822</v>
      </c>
      <c r="E12" s="69">
        <v>36038</v>
      </c>
      <c r="F12" s="69">
        <v>29861</v>
      </c>
      <c r="G12" s="69">
        <v>34329</v>
      </c>
      <c r="H12" s="69">
        <v>31019</v>
      </c>
      <c r="I12" s="69">
        <v>30465</v>
      </c>
      <c r="J12" s="69">
        <v>27974</v>
      </c>
      <c r="K12" s="69">
        <v>41238</v>
      </c>
      <c r="L12" s="69">
        <v>48617</v>
      </c>
      <c r="M12" s="69">
        <v>47104</v>
      </c>
      <c r="N12" s="69">
        <v>50231</v>
      </c>
    </row>
    <row r="13" spans="1:14" s="68" customFormat="1" ht="17" x14ac:dyDescent="0.2">
      <c r="A13" s="65" t="s">
        <v>102</v>
      </c>
      <c r="B13" s="69" t="s">
        <v>64</v>
      </c>
      <c r="C13" s="69" t="s">
        <v>64</v>
      </c>
      <c r="D13" s="69">
        <v>4361</v>
      </c>
      <c r="E13" s="69">
        <v>5331</v>
      </c>
      <c r="F13" s="69">
        <v>7505</v>
      </c>
      <c r="G13" s="69">
        <v>9242</v>
      </c>
      <c r="H13" s="69">
        <v>16618</v>
      </c>
      <c r="I13" s="69">
        <v>17470</v>
      </c>
      <c r="J13" s="69">
        <v>14832</v>
      </c>
      <c r="K13" s="69">
        <v>21577</v>
      </c>
      <c r="L13" s="69">
        <v>26852</v>
      </c>
      <c r="M13" s="69">
        <v>24555</v>
      </c>
      <c r="N13" s="69">
        <v>32331</v>
      </c>
    </row>
    <row r="14" spans="1:14" s="68" customFormat="1" ht="17" x14ac:dyDescent="0.2">
      <c r="A14" s="65" t="s">
        <v>103</v>
      </c>
      <c r="B14" s="69">
        <v>2295</v>
      </c>
      <c r="C14" s="69">
        <v>2507</v>
      </c>
      <c r="D14" s="69">
        <v>2771</v>
      </c>
      <c r="E14" s="69">
        <v>2656</v>
      </c>
      <c r="F14" s="69">
        <v>1879</v>
      </c>
      <c r="G14" s="69">
        <v>2282</v>
      </c>
      <c r="H14" s="69">
        <v>2119</v>
      </c>
      <c r="I14" s="69">
        <v>1537</v>
      </c>
      <c r="J14" s="69">
        <v>1575</v>
      </c>
      <c r="K14" s="69">
        <v>2068</v>
      </c>
      <c r="L14" s="69">
        <v>1850</v>
      </c>
      <c r="M14" s="69">
        <v>2280</v>
      </c>
      <c r="N14" s="69">
        <v>2986</v>
      </c>
    </row>
    <row r="15" spans="1:14" s="68" customFormat="1" ht="17" x14ac:dyDescent="0.2">
      <c r="A15" s="65" t="s">
        <v>104</v>
      </c>
      <c r="B15" s="69">
        <v>893</v>
      </c>
      <c r="C15" s="69">
        <v>964</v>
      </c>
      <c r="D15" s="69">
        <v>808</v>
      </c>
      <c r="E15" s="69">
        <v>710</v>
      </c>
      <c r="F15" s="69">
        <v>648</v>
      </c>
      <c r="G15" s="69">
        <v>780</v>
      </c>
      <c r="H15" s="69">
        <v>834</v>
      </c>
      <c r="I15" s="69">
        <v>780</v>
      </c>
      <c r="J15" s="69">
        <v>968</v>
      </c>
      <c r="K15" s="69">
        <v>737</v>
      </c>
      <c r="L15" s="69">
        <v>627</v>
      </c>
      <c r="M15" s="69">
        <v>1075</v>
      </c>
      <c r="N15" s="69">
        <v>3209</v>
      </c>
    </row>
    <row r="16" spans="1:14" s="68" customFormat="1" ht="17" x14ac:dyDescent="0.2">
      <c r="A16" s="65" t="s">
        <v>105</v>
      </c>
      <c r="B16" s="69">
        <v>37871</v>
      </c>
      <c r="C16" s="69">
        <v>45137</v>
      </c>
      <c r="D16" s="69">
        <v>51082</v>
      </c>
      <c r="E16" s="69">
        <v>51838</v>
      </c>
      <c r="F16" s="69">
        <v>60982</v>
      </c>
      <c r="G16" s="69">
        <v>82092</v>
      </c>
      <c r="H16" s="69">
        <v>86839</v>
      </c>
      <c r="I16" s="69">
        <v>61054</v>
      </c>
      <c r="J16" s="69">
        <v>65079</v>
      </c>
      <c r="K16" s="69">
        <v>80852</v>
      </c>
      <c r="L16" s="69">
        <v>84109</v>
      </c>
      <c r="M16" s="69">
        <v>74684</v>
      </c>
      <c r="N16" s="69">
        <v>112385</v>
      </c>
    </row>
    <row r="17" spans="1:14" s="68" customFormat="1" ht="17" x14ac:dyDescent="0.2">
      <c r="A17" s="65" t="s">
        <v>106</v>
      </c>
      <c r="B17" s="69">
        <v>90225</v>
      </c>
      <c r="C17" s="69">
        <v>107649</v>
      </c>
      <c r="D17" s="69">
        <v>113019</v>
      </c>
      <c r="E17" s="69">
        <v>107963</v>
      </c>
      <c r="F17" s="69">
        <v>120710</v>
      </c>
      <c r="G17" s="69">
        <v>140875</v>
      </c>
      <c r="H17" s="69">
        <v>156337</v>
      </c>
      <c r="I17" s="69">
        <v>139493</v>
      </c>
      <c r="J17" s="69">
        <v>128275</v>
      </c>
      <c r="K17" s="69">
        <v>168623</v>
      </c>
      <c r="L17" s="69">
        <v>206181</v>
      </c>
      <c r="M17" s="69">
        <v>188998</v>
      </c>
      <c r="N17" s="69">
        <v>213861</v>
      </c>
    </row>
    <row r="18" spans="1:14" s="68" customFormat="1" ht="17" x14ac:dyDescent="0.2">
      <c r="A18" s="65" t="s">
        <v>107</v>
      </c>
      <c r="B18" s="69">
        <v>9304</v>
      </c>
      <c r="C18" s="69">
        <v>10060</v>
      </c>
      <c r="D18" s="69">
        <v>9551</v>
      </c>
      <c r="E18" s="69">
        <v>9930</v>
      </c>
      <c r="F18" s="69">
        <v>9340</v>
      </c>
      <c r="G18" s="69">
        <v>8848</v>
      </c>
      <c r="H18" s="69">
        <v>8356</v>
      </c>
      <c r="I18" s="69">
        <v>8091</v>
      </c>
      <c r="J18" s="69">
        <v>7247</v>
      </c>
      <c r="K18" s="69">
        <v>7070</v>
      </c>
      <c r="L18" s="69">
        <v>6943</v>
      </c>
      <c r="M18" s="69">
        <v>5418</v>
      </c>
      <c r="N18" s="69">
        <v>5390</v>
      </c>
    </row>
    <row r="19" spans="1:14" s="68" customFormat="1" ht="17" x14ac:dyDescent="0.2">
      <c r="A19" s="65" t="s">
        <v>108</v>
      </c>
      <c r="B19" s="69">
        <v>6722</v>
      </c>
      <c r="C19" s="69">
        <v>8528</v>
      </c>
      <c r="D19" s="69">
        <v>9614</v>
      </c>
      <c r="E19" s="69">
        <v>11027</v>
      </c>
      <c r="F19" s="69">
        <v>11848</v>
      </c>
      <c r="G19" s="69">
        <v>14534</v>
      </c>
      <c r="H19" s="69">
        <v>17527</v>
      </c>
      <c r="I19" s="69">
        <v>18544</v>
      </c>
      <c r="J19" s="69">
        <v>16807</v>
      </c>
      <c r="K19" s="69">
        <v>24337</v>
      </c>
      <c r="L19" s="69">
        <v>28258</v>
      </c>
      <c r="M19" s="69">
        <v>26429</v>
      </c>
      <c r="N19" s="69">
        <v>29813</v>
      </c>
    </row>
    <row r="20" spans="1:14" s="68" customFormat="1" ht="17" x14ac:dyDescent="0.2">
      <c r="A20" s="65" t="s">
        <v>109</v>
      </c>
      <c r="B20" s="69">
        <v>4959</v>
      </c>
      <c r="C20" s="69">
        <v>5382</v>
      </c>
      <c r="D20" s="69">
        <v>7046</v>
      </c>
      <c r="E20" s="69">
        <v>9844</v>
      </c>
      <c r="F20" s="69">
        <v>9205</v>
      </c>
      <c r="G20" s="69">
        <v>5903</v>
      </c>
      <c r="H20" s="69">
        <v>12292</v>
      </c>
      <c r="I20" s="69">
        <v>12912</v>
      </c>
      <c r="J20" s="69">
        <v>13764</v>
      </c>
      <c r="K20" s="69">
        <v>21073</v>
      </c>
      <c r="L20" s="69">
        <v>19794</v>
      </c>
      <c r="M20" s="69">
        <v>27843</v>
      </c>
      <c r="N20" s="69">
        <v>33871</v>
      </c>
    </row>
    <row r="21" spans="1:14" s="68" customFormat="1" ht="17" x14ac:dyDescent="0.2">
      <c r="A21" s="65" t="s">
        <v>110</v>
      </c>
      <c r="B21" s="69">
        <v>1138</v>
      </c>
      <c r="C21" s="69">
        <v>1545</v>
      </c>
      <c r="D21" s="69">
        <v>1536</v>
      </c>
      <c r="E21" s="69">
        <v>1983</v>
      </c>
      <c r="F21" s="69">
        <v>3057</v>
      </c>
      <c r="G21" s="69">
        <v>4629</v>
      </c>
      <c r="H21" s="69">
        <v>6237</v>
      </c>
      <c r="I21" s="69">
        <v>8751</v>
      </c>
      <c r="J21" s="69">
        <v>8386</v>
      </c>
      <c r="K21" s="69">
        <v>8682</v>
      </c>
      <c r="L21" s="69">
        <v>11301</v>
      </c>
      <c r="M21" s="69">
        <v>12000</v>
      </c>
      <c r="N21" s="69">
        <v>12424</v>
      </c>
    </row>
    <row r="22" spans="1:14" s="68" customFormat="1" ht="17" x14ac:dyDescent="0.2">
      <c r="A22" s="65" t="s">
        <v>111</v>
      </c>
      <c r="B22" s="69">
        <v>5236</v>
      </c>
      <c r="C22" s="69">
        <v>6445</v>
      </c>
      <c r="D22" s="69">
        <v>6481</v>
      </c>
      <c r="E22" s="69">
        <v>8215</v>
      </c>
      <c r="F22" s="69">
        <v>8313</v>
      </c>
      <c r="G22" s="69">
        <v>11419</v>
      </c>
      <c r="H22" s="69">
        <v>14895</v>
      </c>
      <c r="I22" s="69">
        <v>14934</v>
      </c>
      <c r="J22" s="69">
        <v>20356</v>
      </c>
      <c r="K22" s="69">
        <v>22487</v>
      </c>
      <c r="L22" s="69">
        <v>23353</v>
      </c>
      <c r="M22" s="69">
        <v>20418</v>
      </c>
      <c r="N22" s="69">
        <v>20173</v>
      </c>
    </row>
    <row r="23" spans="1:14" s="68" customFormat="1" ht="17" x14ac:dyDescent="0.2">
      <c r="A23" s="65" t="s">
        <v>112</v>
      </c>
      <c r="B23" s="69">
        <v>189153</v>
      </c>
      <c r="C23" s="69">
        <v>222199</v>
      </c>
      <c r="D23" s="69">
        <v>241091</v>
      </c>
      <c r="E23" s="69">
        <v>245535</v>
      </c>
      <c r="F23" s="69">
        <v>263348</v>
      </c>
      <c r="G23" s="69">
        <v>314933</v>
      </c>
      <c r="H23" s="69">
        <v>353565</v>
      </c>
      <c r="I23" s="69">
        <v>314031</v>
      </c>
      <c r="J23" s="69">
        <v>305263</v>
      </c>
      <c r="K23" s="69">
        <v>398743</v>
      </c>
      <c r="L23" s="69">
        <v>456360</v>
      </c>
      <c r="M23" s="69">
        <v>430775</v>
      </c>
      <c r="N23" s="69">
        <v>511285</v>
      </c>
    </row>
    <row r="24" spans="1:14" s="68" customFormat="1" ht="17" x14ac:dyDescent="0.2">
      <c r="A24" s="65" t="s">
        <v>113</v>
      </c>
      <c r="B24" s="70"/>
      <c r="C24" s="70"/>
      <c r="D24" s="70"/>
      <c r="E24" s="71"/>
      <c r="F24" s="71"/>
      <c r="G24" s="71"/>
      <c r="H24" s="69"/>
      <c r="I24" s="71"/>
      <c r="J24" s="70"/>
      <c r="K24" s="70"/>
      <c r="L24" s="70"/>
      <c r="M24" s="67"/>
    </row>
    <row r="25" spans="1:14" s="68" customFormat="1" ht="17" x14ac:dyDescent="0.2">
      <c r="A25" s="65" t="s">
        <v>114</v>
      </c>
      <c r="B25" s="69">
        <v>81</v>
      </c>
      <c r="C25" s="69">
        <v>72</v>
      </c>
      <c r="D25" s="69">
        <v>66</v>
      </c>
      <c r="E25" s="69">
        <v>59</v>
      </c>
      <c r="F25" s="69">
        <v>56</v>
      </c>
      <c r="G25" s="69">
        <v>37</v>
      </c>
      <c r="H25" s="69">
        <v>10</v>
      </c>
      <c r="I25" s="69">
        <v>5</v>
      </c>
      <c r="J25" s="69">
        <v>4</v>
      </c>
      <c r="K25" s="69">
        <v>4</v>
      </c>
      <c r="L25" s="69">
        <v>4</v>
      </c>
      <c r="M25" s="69">
        <v>3</v>
      </c>
      <c r="N25" s="69">
        <v>3</v>
      </c>
    </row>
    <row r="26" spans="1:14" s="68" customFormat="1" ht="17" x14ac:dyDescent="0.2">
      <c r="A26" s="65" t="s">
        <v>111</v>
      </c>
      <c r="B26" s="69">
        <v>198887</v>
      </c>
      <c r="C26" s="69">
        <v>220564</v>
      </c>
      <c r="D26" s="69">
        <v>228459</v>
      </c>
      <c r="E26" s="69">
        <v>237425</v>
      </c>
      <c r="F26" s="69">
        <v>268918</v>
      </c>
      <c r="G26" s="69">
        <v>270196</v>
      </c>
      <c r="H26" s="69">
        <v>256901</v>
      </c>
      <c r="I26" s="69">
        <v>269644</v>
      </c>
      <c r="J26" s="69">
        <v>313492</v>
      </c>
      <c r="K26" s="69">
        <v>287548</v>
      </c>
      <c r="L26" s="69">
        <v>284664</v>
      </c>
      <c r="M26" s="69">
        <v>294325</v>
      </c>
      <c r="N26" s="69">
        <v>359818</v>
      </c>
    </row>
    <row r="27" spans="1:14" s="68" customFormat="1" ht="17" x14ac:dyDescent="0.2">
      <c r="A27" s="65" t="s">
        <v>115</v>
      </c>
      <c r="B27" s="69">
        <v>198968</v>
      </c>
      <c r="C27" s="69">
        <v>220636</v>
      </c>
      <c r="D27" s="69">
        <v>228525</v>
      </c>
      <c r="E27" s="69">
        <v>237484</v>
      </c>
      <c r="F27" s="69">
        <v>268974</v>
      </c>
      <c r="G27" s="69">
        <v>270233</v>
      </c>
      <c r="H27" s="69">
        <v>256911</v>
      </c>
      <c r="I27" s="69">
        <v>269649</v>
      </c>
      <c r="J27" s="69">
        <v>313496</v>
      </c>
      <c r="K27" s="69">
        <v>287552</v>
      </c>
      <c r="L27" s="69">
        <v>284668</v>
      </c>
      <c r="M27" s="69">
        <v>294329</v>
      </c>
      <c r="N27" s="69">
        <v>359821</v>
      </c>
    </row>
    <row r="28" spans="1:14" s="68" customFormat="1" ht="17" x14ac:dyDescent="0.2">
      <c r="A28" s="65" t="s">
        <v>116</v>
      </c>
      <c r="B28" s="69"/>
      <c r="C28" s="69"/>
      <c r="D28" s="69"/>
      <c r="E28" s="69"/>
      <c r="F28" s="69"/>
      <c r="G28" s="72"/>
      <c r="H28" s="69"/>
      <c r="I28" s="69"/>
      <c r="J28" s="69"/>
      <c r="K28" s="69"/>
      <c r="L28" s="69"/>
      <c r="M28" s="67"/>
    </row>
    <row r="29" spans="1:14" s="68" customFormat="1" ht="17" x14ac:dyDescent="0.2">
      <c r="A29" s="65" t="s">
        <v>117</v>
      </c>
      <c r="B29" s="69" t="s">
        <v>64</v>
      </c>
      <c r="C29" s="69" t="s">
        <v>64</v>
      </c>
      <c r="D29" s="69" t="s">
        <v>64</v>
      </c>
      <c r="E29" s="69" t="s">
        <v>64</v>
      </c>
      <c r="F29" s="69" t="s">
        <v>64</v>
      </c>
      <c r="G29" s="69">
        <v>33</v>
      </c>
      <c r="H29" s="69">
        <v>352</v>
      </c>
      <c r="I29" s="69">
        <v>648</v>
      </c>
      <c r="J29" s="69">
        <v>863</v>
      </c>
      <c r="K29" s="69">
        <v>552</v>
      </c>
      <c r="L29" s="69">
        <v>447</v>
      </c>
      <c r="M29" s="69">
        <v>763</v>
      </c>
      <c r="N29" s="69">
        <v>789</v>
      </c>
    </row>
    <row r="30" spans="1:14" s="68" customFormat="1" ht="17" x14ac:dyDescent="0.2">
      <c r="A30" s="65" t="s">
        <v>111</v>
      </c>
      <c r="B30" s="69" t="s">
        <v>64</v>
      </c>
      <c r="C30" s="69" t="s">
        <v>64</v>
      </c>
      <c r="D30" s="69" t="s">
        <v>64</v>
      </c>
      <c r="E30" s="69" t="s">
        <v>64</v>
      </c>
      <c r="F30" s="69" t="s">
        <v>64</v>
      </c>
      <c r="G30" s="69">
        <v>13</v>
      </c>
      <c r="H30" s="69">
        <v>28</v>
      </c>
      <c r="I30" s="69">
        <v>71</v>
      </c>
      <c r="J30" s="69">
        <v>132</v>
      </c>
      <c r="K30" s="69">
        <v>229</v>
      </c>
      <c r="L30" s="69">
        <v>116</v>
      </c>
      <c r="M30" s="69">
        <v>59</v>
      </c>
      <c r="N30" s="69">
        <v>57</v>
      </c>
    </row>
    <row r="31" spans="1:14" s="68" customFormat="1" ht="17" x14ac:dyDescent="0.2">
      <c r="A31" s="65" t="s">
        <v>118</v>
      </c>
      <c r="B31" s="69" t="s">
        <v>64</v>
      </c>
      <c r="C31" s="69" t="s">
        <v>64</v>
      </c>
      <c r="D31" s="69" t="s">
        <v>64</v>
      </c>
      <c r="E31" s="69" t="s">
        <v>64</v>
      </c>
      <c r="F31" s="69" t="s">
        <v>64</v>
      </c>
      <c r="G31" s="69">
        <v>46</v>
      </c>
      <c r="H31" s="69">
        <v>380</v>
      </c>
      <c r="I31" s="69">
        <v>719</v>
      </c>
      <c r="J31" s="69">
        <v>995</v>
      </c>
      <c r="K31" s="69">
        <v>781</v>
      </c>
      <c r="L31" s="69">
        <v>563</v>
      </c>
      <c r="M31" s="69">
        <v>821</v>
      </c>
      <c r="N31" s="69">
        <v>847</v>
      </c>
    </row>
    <row r="32" spans="1:14" s="68" customFormat="1" ht="17" x14ac:dyDescent="0.2">
      <c r="A32" s="65" t="s">
        <v>119</v>
      </c>
      <c r="B32" s="69">
        <v>388121</v>
      </c>
      <c r="C32" s="69">
        <v>442835</v>
      </c>
      <c r="D32" s="69">
        <v>469616</v>
      </c>
      <c r="E32" s="69">
        <v>483019</v>
      </c>
      <c r="F32" s="69">
        <v>532322</v>
      </c>
      <c r="G32" s="69">
        <v>585210</v>
      </c>
      <c r="H32" s="69">
        <v>610856</v>
      </c>
      <c r="I32" s="69">
        <v>584399</v>
      </c>
      <c r="J32" s="69">
        <v>619754</v>
      </c>
      <c r="K32" s="69">
        <v>687076</v>
      </c>
      <c r="L32" s="69">
        <v>741591</v>
      </c>
      <c r="M32" s="69">
        <v>725925</v>
      </c>
      <c r="N32" s="69">
        <v>871952</v>
      </c>
    </row>
    <row r="33" spans="1:14" s="68" customFormat="1" ht="17" x14ac:dyDescent="0.2">
      <c r="A33" s="65" t="s">
        <v>120</v>
      </c>
      <c r="B33" s="72"/>
      <c r="C33" s="72"/>
      <c r="D33" s="72"/>
      <c r="E33" s="72"/>
      <c r="F33" s="72"/>
      <c r="G33" s="69"/>
      <c r="H33" s="72"/>
      <c r="I33" s="66"/>
      <c r="J33" s="72"/>
      <c r="K33" s="72"/>
      <c r="L33" s="72"/>
      <c r="M33" s="72"/>
    </row>
    <row r="34" spans="1:14" s="68" customFormat="1" ht="17" x14ac:dyDescent="0.2">
      <c r="A34" s="65" t="s">
        <v>121</v>
      </c>
      <c r="B34" s="66" t="s">
        <v>64</v>
      </c>
      <c r="C34" s="69">
        <v>167</v>
      </c>
      <c r="D34" s="69">
        <v>320</v>
      </c>
      <c r="E34" s="69">
        <v>515</v>
      </c>
      <c r="F34" s="69">
        <v>999</v>
      </c>
      <c r="G34" s="69">
        <v>1370</v>
      </c>
      <c r="H34" s="69">
        <v>1851</v>
      </c>
      <c r="I34" s="69">
        <v>2280</v>
      </c>
      <c r="J34" s="69">
        <v>2145</v>
      </c>
      <c r="K34" s="69">
        <v>3461</v>
      </c>
      <c r="L34" s="69">
        <v>4980</v>
      </c>
      <c r="M34" s="69">
        <v>5407</v>
      </c>
      <c r="N34" s="69">
        <v>7511</v>
      </c>
    </row>
    <row r="35" spans="1:14" s="68" customFormat="1" ht="17" x14ac:dyDescent="0.2">
      <c r="A35" s="65" t="s">
        <v>122</v>
      </c>
      <c r="B35" s="66" t="s">
        <v>64</v>
      </c>
      <c r="C35" s="69">
        <v>390</v>
      </c>
      <c r="D35" s="69">
        <v>788</v>
      </c>
      <c r="E35" s="69">
        <v>1140</v>
      </c>
      <c r="F35" s="69">
        <v>1757</v>
      </c>
      <c r="G35" s="69">
        <v>1969</v>
      </c>
      <c r="H35" s="69">
        <v>1312</v>
      </c>
      <c r="I35" s="69">
        <v>2588</v>
      </c>
      <c r="J35" s="69">
        <v>3229</v>
      </c>
      <c r="K35" s="69">
        <v>3689</v>
      </c>
      <c r="L35" s="69">
        <v>4021</v>
      </c>
      <c r="M35" s="69">
        <v>4472</v>
      </c>
      <c r="N35" s="69">
        <v>4969</v>
      </c>
    </row>
    <row r="36" spans="1:14" s="68" customFormat="1" ht="17" x14ac:dyDescent="0.2">
      <c r="A36" s="65" t="s">
        <v>123</v>
      </c>
      <c r="B36" s="69">
        <v>117</v>
      </c>
      <c r="C36" s="69">
        <v>557</v>
      </c>
      <c r="D36" s="69">
        <v>1108</v>
      </c>
      <c r="E36" s="69">
        <v>1655</v>
      </c>
      <c r="F36" s="69">
        <v>2756</v>
      </c>
      <c r="G36" s="69">
        <v>3339</v>
      </c>
      <c r="H36" s="69">
        <v>3163</v>
      </c>
      <c r="I36" s="69">
        <v>4868</v>
      </c>
      <c r="J36" s="69">
        <v>5374</v>
      </c>
      <c r="K36" s="69">
        <v>7150</v>
      </c>
      <c r="L36" s="69">
        <v>9001</v>
      </c>
      <c r="M36" s="69">
        <v>9880</v>
      </c>
      <c r="N36" s="69">
        <v>12480</v>
      </c>
    </row>
    <row r="37" spans="1:14" s="75" customFormat="1" ht="16" x14ac:dyDescent="0.15">
      <c r="A37" s="73" t="s">
        <v>124</v>
      </c>
      <c r="B37" s="74"/>
      <c r="C37" s="74"/>
      <c r="D37" s="74"/>
      <c r="E37" s="74"/>
      <c r="F37" s="74"/>
      <c r="G37" s="74"/>
      <c r="H37" s="74"/>
      <c r="I37" s="74"/>
    </row>
    <row r="38" spans="1:14" s="67" customFormat="1" x14ac:dyDescent="0.15"/>
  </sheetData>
  <pageMargins left="0.70000000000000007" right="0.70000000000000007" top="0.75" bottom="0.75" header="0.30000000000000004" footer="0.30000000000000004"/>
  <pageSetup paperSize="0" fitToWidth="0" fitToHeight="0" orientation="portrait" horizontalDpi="0" verticalDpi="0" copies="0"/>
  <headerFooter>
    <oddFooter>&amp;C&amp;1#&amp;"Calibri,Regular"&amp;10OFFICIAL</oddFooter>
  </headerFooter>
  <tableParts count="1">
    <tablePart r:id="rId1"/>
  </tableParts>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9"/>
  <sheetViews>
    <sheetView workbookViewId="0"/>
  </sheetViews>
  <sheetFormatPr baseColWidth="10" defaultColWidth="22.83203125" defaultRowHeight="13" x14ac:dyDescent="0.15"/>
  <cols>
    <col min="1" max="1" width="48.6640625" customWidth="1"/>
    <col min="2" max="13" width="23.5" customWidth="1"/>
    <col min="14" max="14" width="22.83203125" customWidth="1"/>
  </cols>
  <sheetData>
    <row r="1" spans="1:13" s="2" customFormat="1" ht="25.5" customHeight="1" x14ac:dyDescent="0.2">
      <c r="A1" s="77" t="s">
        <v>125</v>
      </c>
      <c r="B1" s="78"/>
    </row>
    <row r="2" spans="1:13" s="79" customFormat="1" ht="19.5" customHeight="1" x14ac:dyDescent="0.2">
      <c r="A2" s="20" t="s">
        <v>126</v>
      </c>
      <c r="B2" s="20"/>
    </row>
    <row r="3" spans="1:13" s="79" customFormat="1" ht="19.5" customHeight="1" x14ac:dyDescent="0.2">
      <c r="A3" s="20" t="s">
        <v>127</v>
      </c>
      <c r="B3" s="20"/>
    </row>
    <row r="4" spans="1:13" s="79" customFormat="1" ht="19.5" customHeight="1" x14ac:dyDescent="0.2">
      <c r="A4" s="20" t="s">
        <v>128</v>
      </c>
      <c r="B4" s="20"/>
    </row>
    <row r="5" spans="1:13" s="79" customFormat="1" ht="19.5" customHeight="1" x14ac:dyDescent="0.2">
      <c r="A5" s="20" t="s">
        <v>129</v>
      </c>
      <c r="B5" s="80"/>
      <c r="C5" s="80"/>
      <c r="D5" s="80"/>
      <c r="E5" s="80"/>
      <c r="F5" s="80"/>
      <c r="G5" s="80"/>
      <c r="H5" s="80"/>
      <c r="I5" s="80"/>
      <c r="J5" s="80"/>
      <c r="K5" s="80"/>
      <c r="L5" s="80"/>
      <c r="M5" s="80"/>
    </row>
    <row r="6" spans="1:13" s="84" customFormat="1" ht="34" x14ac:dyDescent="0.2">
      <c r="A6" s="81" t="s">
        <v>130</v>
      </c>
      <c r="B6" s="82" t="s">
        <v>131</v>
      </c>
      <c r="C6" s="82" t="s">
        <v>132</v>
      </c>
      <c r="D6" s="82" t="s">
        <v>133</v>
      </c>
      <c r="E6" s="82" t="s">
        <v>134</v>
      </c>
      <c r="F6" s="82" t="s">
        <v>135</v>
      </c>
      <c r="G6" s="82" t="s">
        <v>136</v>
      </c>
      <c r="H6" s="83" t="s">
        <v>137</v>
      </c>
      <c r="I6" s="83" t="s">
        <v>138</v>
      </c>
      <c r="J6" s="83" t="s">
        <v>139</v>
      </c>
      <c r="K6" s="82" t="s">
        <v>140</v>
      </c>
      <c r="L6" s="82" t="s">
        <v>141</v>
      </c>
      <c r="M6" s="82" t="s">
        <v>142</v>
      </c>
    </row>
    <row r="7" spans="1:13" s="84" customFormat="1" ht="16" x14ac:dyDescent="0.2">
      <c r="A7" s="85" t="s">
        <v>143</v>
      </c>
      <c r="B7" s="86">
        <v>294560</v>
      </c>
      <c r="C7" s="86">
        <v>59003</v>
      </c>
      <c r="D7" s="86">
        <v>34499</v>
      </c>
      <c r="E7" s="86">
        <v>16675</v>
      </c>
      <c r="F7" s="86">
        <v>18715</v>
      </c>
      <c r="G7" s="86">
        <v>7911</v>
      </c>
      <c r="H7" s="86">
        <v>8968</v>
      </c>
      <c r="I7" s="86">
        <v>19443</v>
      </c>
      <c r="J7" s="86">
        <v>94570</v>
      </c>
      <c r="K7" s="86">
        <v>554344</v>
      </c>
      <c r="L7" s="86">
        <v>705043</v>
      </c>
      <c r="M7" s="86">
        <v>1259387</v>
      </c>
    </row>
    <row r="8" spans="1:13" s="84" customFormat="1" ht="16" x14ac:dyDescent="0.2">
      <c r="A8" s="85" t="s">
        <v>144</v>
      </c>
      <c r="B8" s="86">
        <v>345913</v>
      </c>
      <c r="C8" s="86">
        <v>79259</v>
      </c>
      <c r="D8" s="86">
        <v>40241</v>
      </c>
      <c r="E8" s="86">
        <v>21843</v>
      </c>
      <c r="F8" s="86">
        <v>27016</v>
      </c>
      <c r="G8" s="86">
        <v>13032</v>
      </c>
      <c r="H8" s="86">
        <v>15529</v>
      </c>
      <c r="I8" s="86">
        <v>22882</v>
      </c>
      <c r="J8" s="86">
        <v>132839</v>
      </c>
      <c r="K8" s="86">
        <v>698554</v>
      </c>
      <c r="L8" s="86">
        <v>984498</v>
      </c>
      <c r="M8" s="86">
        <v>1683052</v>
      </c>
    </row>
    <row r="9" spans="1:13" s="84" customFormat="1" ht="16" x14ac:dyDescent="0.2">
      <c r="A9" s="85" t="s">
        <v>145</v>
      </c>
      <c r="B9" s="86">
        <v>1067834</v>
      </c>
      <c r="C9" s="86">
        <v>263738</v>
      </c>
      <c r="D9" s="86">
        <v>154903</v>
      </c>
      <c r="E9" s="86">
        <v>82005</v>
      </c>
      <c r="F9" s="86">
        <v>110923</v>
      </c>
      <c r="G9" s="86">
        <v>44659</v>
      </c>
      <c r="H9" s="86">
        <v>67423</v>
      </c>
      <c r="I9" s="86">
        <v>85522</v>
      </c>
      <c r="J9" s="86">
        <v>525947</v>
      </c>
      <c r="K9" s="86">
        <v>2402954</v>
      </c>
      <c r="L9" s="86">
        <v>3044068</v>
      </c>
      <c r="M9" s="86">
        <v>5447021</v>
      </c>
    </row>
    <row r="10" spans="1:13" s="84" customFormat="1" ht="16" x14ac:dyDescent="0.2">
      <c r="A10" s="85" t="s">
        <v>146</v>
      </c>
      <c r="B10" s="86">
        <v>1132384</v>
      </c>
      <c r="C10" s="86">
        <v>295614</v>
      </c>
      <c r="D10" s="86">
        <v>158262</v>
      </c>
      <c r="E10" s="86">
        <v>78877</v>
      </c>
      <c r="F10" s="86">
        <v>98948</v>
      </c>
      <c r="G10" s="86">
        <v>42411</v>
      </c>
      <c r="H10" s="86">
        <v>52575</v>
      </c>
      <c r="I10" s="86">
        <v>75883</v>
      </c>
      <c r="J10" s="86">
        <v>431734</v>
      </c>
      <c r="K10" s="86">
        <v>2366687</v>
      </c>
      <c r="L10" s="86">
        <v>2152475</v>
      </c>
      <c r="M10" s="86">
        <v>4519161</v>
      </c>
    </row>
    <row r="11" spans="1:13" s="84" customFormat="1" ht="16" x14ac:dyDescent="0.2">
      <c r="A11" s="85" t="s">
        <v>147</v>
      </c>
      <c r="B11" s="86">
        <v>1136091</v>
      </c>
      <c r="C11" s="86">
        <v>354835</v>
      </c>
      <c r="D11" s="86">
        <v>195402</v>
      </c>
      <c r="E11" s="86">
        <v>102249</v>
      </c>
      <c r="F11" s="86">
        <v>126825</v>
      </c>
      <c r="G11" s="86">
        <v>53684</v>
      </c>
      <c r="H11" s="86">
        <v>65609</v>
      </c>
      <c r="I11" s="86">
        <v>103719</v>
      </c>
      <c r="J11" s="86">
        <v>547601</v>
      </c>
      <c r="K11" s="86">
        <v>2686015</v>
      </c>
      <c r="L11" s="86">
        <v>2106952</v>
      </c>
      <c r="M11" s="86">
        <v>4792967</v>
      </c>
    </row>
    <row r="12" spans="1:13" s="84" customFormat="1" ht="16" x14ac:dyDescent="0.2">
      <c r="A12" s="85" t="s">
        <v>148</v>
      </c>
      <c r="B12" s="86">
        <v>513724</v>
      </c>
      <c r="C12" s="86">
        <v>196595</v>
      </c>
      <c r="D12" s="86">
        <v>124731</v>
      </c>
      <c r="E12" s="86">
        <v>67865</v>
      </c>
      <c r="F12" s="86">
        <v>84047</v>
      </c>
      <c r="G12" s="86">
        <v>41651</v>
      </c>
      <c r="H12" s="86">
        <v>52368</v>
      </c>
      <c r="I12" s="86">
        <v>92750</v>
      </c>
      <c r="J12" s="86">
        <v>457624</v>
      </c>
      <c r="K12" s="86">
        <v>1631353</v>
      </c>
      <c r="L12" s="86">
        <v>1079648</v>
      </c>
      <c r="M12" s="86">
        <v>2711000</v>
      </c>
    </row>
    <row r="13" spans="1:13" s="84" customFormat="1" ht="16" x14ac:dyDescent="0.2">
      <c r="A13" s="85" t="s">
        <v>149</v>
      </c>
      <c r="B13" s="86">
        <v>60343</v>
      </c>
      <c r="C13" s="86">
        <v>27048</v>
      </c>
      <c r="D13" s="86">
        <v>20229</v>
      </c>
      <c r="E13" s="86">
        <v>11514</v>
      </c>
      <c r="F13" s="86">
        <v>16772</v>
      </c>
      <c r="G13" s="86">
        <v>8690</v>
      </c>
      <c r="H13" s="86">
        <v>12089</v>
      </c>
      <c r="I13" s="86">
        <v>23183</v>
      </c>
      <c r="J13" s="86">
        <v>122298</v>
      </c>
      <c r="K13" s="86">
        <v>302165</v>
      </c>
      <c r="L13" s="86">
        <v>169672</v>
      </c>
      <c r="M13" s="86">
        <v>471837</v>
      </c>
    </row>
    <row r="14" spans="1:13" s="84" customFormat="1" ht="16" x14ac:dyDescent="0.2">
      <c r="A14" s="85" t="s">
        <v>150</v>
      </c>
      <c r="B14" s="86">
        <v>28834</v>
      </c>
      <c r="C14" s="86">
        <v>14288</v>
      </c>
      <c r="D14" s="86">
        <v>11518</v>
      </c>
      <c r="E14" s="86">
        <v>6831</v>
      </c>
      <c r="F14" s="86">
        <v>11285</v>
      </c>
      <c r="G14" s="86">
        <v>5419</v>
      </c>
      <c r="H14" s="86">
        <v>10238</v>
      </c>
      <c r="I14" s="86">
        <v>27002</v>
      </c>
      <c r="J14" s="86">
        <v>172235</v>
      </c>
      <c r="K14" s="86">
        <v>287650</v>
      </c>
      <c r="L14" s="86">
        <v>126673</v>
      </c>
      <c r="M14" s="86">
        <v>414323</v>
      </c>
    </row>
    <row r="15" spans="1:13" s="84" customFormat="1" ht="16" x14ac:dyDescent="0.2">
      <c r="A15" s="85" t="s">
        <v>151</v>
      </c>
      <c r="B15" s="86">
        <v>4579683</v>
      </c>
      <c r="C15" s="86">
        <v>1290379</v>
      </c>
      <c r="D15" s="86">
        <v>739785</v>
      </c>
      <c r="E15" s="86">
        <v>387858</v>
      </c>
      <c r="F15" s="86">
        <v>494530</v>
      </c>
      <c r="G15" s="86">
        <v>217456</v>
      </c>
      <c r="H15" s="86">
        <v>284800</v>
      </c>
      <c r="I15" s="86">
        <v>450382</v>
      </c>
      <c r="J15" s="86">
        <v>2484848</v>
      </c>
      <c r="K15" s="86">
        <v>10929722</v>
      </c>
      <c r="L15" s="86">
        <v>10369028</v>
      </c>
      <c r="M15" s="86">
        <v>21298750</v>
      </c>
    </row>
    <row r="16" spans="1:13" s="84" customFormat="1" ht="34" x14ac:dyDescent="0.2">
      <c r="A16" s="81" t="s">
        <v>152</v>
      </c>
      <c r="B16" s="82" t="s">
        <v>131</v>
      </c>
      <c r="C16" s="82" t="s">
        <v>132</v>
      </c>
      <c r="D16" s="82" t="s">
        <v>133</v>
      </c>
      <c r="E16" s="82" t="s">
        <v>134</v>
      </c>
      <c r="F16" s="82" t="s">
        <v>135</v>
      </c>
      <c r="G16" s="82" t="s">
        <v>136</v>
      </c>
      <c r="H16" s="83" t="s">
        <v>137</v>
      </c>
      <c r="I16" s="83" t="s">
        <v>138</v>
      </c>
      <c r="J16" s="83" t="s">
        <v>139</v>
      </c>
      <c r="K16" s="82" t="s">
        <v>140</v>
      </c>
      <c r="L16" s="82" t="s">
        <v>141</v>
      </c>
      <c r="M16" s="82" t="s">
        <v>142</v>
      </c>
    </row>
    <row r="17" spans="1:13" s="84" customFormat="1" ht="16" x14ac:dyDescent="0.2">
      <c r="A17" s="85" t="s">
        <v>143</v>
      </c>
      <c r="B17" s="86">
        <v>214437</v>
      </c>
      <c r="C17" s="86">
        <v>33287</v>
      </c>
      <c r="D17" s="86">
        <v>24868</v>
      </c>
      <c r="E17" s="86">
        <v>11328</v>
      </c>
      <c r="F17" s="86">
        <v>13530</v>
      </c>
      <c r="G17" s="86">
        <v>5600</v>
      </c>
      <c r="H17" s="86">
        <v>5905</v>
      </c>
      <c r="I17" s="86">
        <v>10388</v>
      </c>
      <c r="J17" s="86">
        <v>48576</v>
      </c>
      <c r="K17" s="86">
        <v>367920</v>
      </c>
      <c r="L17" s="86">
        <v>488752</v>
      </c>
      <c r="M17" s="86">
        <v>856671</v>
      </c>
    </row>
    <row r="18" spans="1:13" s="84" customFormat="1" ht="16" x14ac:dyDescent="0.2">
      <c r="A18" s="85" t="s">
        <v>144</v>
      </c>
      <c r="B18" s="86">
        <v>264603</v>
      </c>
      <c r="C18" s="86">
        <v>55603</v>
      </c>
      <c r="D18" s="86">
        <v>33591</v>
      </c>
      <c r="E18" s="86">
        <v>18141</v>
      </c>
      <c r="F18" s="86">
        <v>22057</v>
      </c>
      <c r="G18" s="86">
        <v>10580</v>
      </c>
      <c r="H18" s="86">
        <v>11346</v>
      </c>
      <c r="I18" s="86">
        <v>13679</v>
      </c>
      <c r="J18" s="86">
        <v>84357</v>
      </c>
      <c r="K18" s="86">
        <v>513957</v>
      </c>
      <c r="L18" s="86">
        <v>666502</v>
      </c>
      <c r="M18" s="86">
        <v>1180459</v>
      </c>
    </row>
    <row r="19" spans="1:13" s="84" customFormat="1" ht="16" x14ac:dyDescent="0.2">
      <c r="A19" s="85" t="s">
        <v>145</v>
      </c>
      <c r="B19" s="86">
        <v>824939</v>
      </c>
      <c r="C19" s="86">
        <v>192795</v>
      </c>
      <c r="D19" s="86">
        <v>129392</v>
      </c>
      <c r="E19" s="86">
        <v>67748</v>
      </c>
      <c r="F19" s="86">
        <v>93681</v>
      </c>
      <c r="G19" s="86">
        <v>34350</v>
      </c>
      <c r="H19" s="86">
        <v>51948</v>
      </c>
      <c r="I19" s="86">
        <v>50606</v>
      </c>
      <c r="J19" s="86">
        <v>358192</v>
      </c>
      <c r="K19" s="86">
        <v>1803650</v>
      </c>
      <c r="L19" s="86">
        <v>1937262</v>
      </c>
      <c r="M19" s="86">
        <v>3740912</v>
      </c>
    </row>
    <row r="20" spans="1:13" s="84" customFormat="1" ht="16" x14ac:dyDescent="0.2">
      <c r="A20" s="85" t="s">
        <v>146</v>
      </c>
      <c r="B20" s="86">
        <v>843964</v>
      </c>
      <c r="C20" s="86">
        <v>196584</v>
      </c>
      <c r="D20" s="86">
        <v>119618</v>
      </c>
      <c r="E20" s="86">
        <v>60624</v>
      </c>
      <c r="F20" s="86">
        <v>81096</v>
      </c>
      <c r="G20" s="86">
        <v>32740</v>
      </c>
      <c r="H20" s="86">
        <v>39676</v>
      </c>
      <c r="I20" s="86">
        <v>43137</v>
      </c>
      <c r="J20" s="86">
        <v>291063</v>
      </c>
      <c r="K20" s="86">
        <v>1708502</v>
      </c>
      <c r="L20" s="86">
        <v>1326077</v>
      </c>
      <c r="M20" s="86">
        <v>3034579</v>
      </c>
    </row>
    <row r="21" spans="1:13" s="84" customFormat="1" ht="16" x14ac:dyDescent="0.2">
      <c r="A21" s="85" t="s">
        <v>147</v>
      </c>
      <c r="B21" s="86">
        <v>738714</v>
      </c>
      <c r="C21" s="86">
        <v>197374</v>
      </c>
      <c r="D21" s="86">
        <v>132305</v>
      </c>
      <c r="E21" s="86">
        <v>70760</v>
      </c>
      <c r="F21" s="86">
        <v>92656</v>
      </c>
      <c r="G21" s="86">
        <v>36715</v>
      </c>
      <c r="H21" s="86">
        <v>42802</v>
      </c>
      <c r="I21" s="86">
        <v>55167</v>
      </c>
      <c r="J21" s="86">
        <v>338445</v>
      </c>
      <c r="K21" s="86">
        <v>1704938</v>
      </c>
      <c r="L21" s="86">
        <v>1235305</v>
      </c>
      <c r="M21" s="86">
        <v>2940243</v>
      </c>
    </row>
    <row r="22" spans="1:13" s="84" customFormat="1" ht="16" x14ac:dyDescent="0.2">
      <c r="A22" s="85" t="s">
        <v>148</v>
      </c>
      <c r="B22" s="86">
        <v>253436</v>
      </c>
      <c r="C22" s="86">
        <v>89712</v>
      </c>
      <c r="D22" s="86">
        <v>62054</v>
      </c>
      <c r="E22" s="86">
        <v>37641</v>
      </c>
      <c r="F22" s="86">
        <v>50499</v>
      </c>
      <c r="G22" s="86">
        <v>22463</v>
      </c>
      <c r="H22" s="86">
        <v>28992</v>
      </c>
      <c r="I22" s="86">
        <v>44121</v>
      </c>
      <c r="J22" s="86">
        <v>240907</v>
      </c>
      <c r="K22" s="86">
        <v>829824</v>
      </c>
      <c r="L22" s="86">
        <v>513160</v>
      </c>
      <c r="M22" s="86">
        <v>1342984</v>
      </c>
    </row>
    <row r="23" spans="1:13" s="84" customFormat="1" ht="16" x14ac:dyDescent="0.2">
      <c r="A23" s="85" t="s">
        <v>149</v>
      </c>
      <c r="B23" s="86">
        <v>20194</v>
      </c>
      <c r="C23" s="86">
        <v>8491</v>
      </c>
      <c r="D23" s="86">
        <v>7063</v>
      </c>
      <c r="E23" s="86">
        <v>4522</v>
      </c>
      <c r="F23" s="86">
        <v>7468</v>
      </c>
      <c r="G23" s="86">
        <v>3543</v>
      </c>
      <c r="H23" s="86">
        <v>5150</v>
      </c>
      <c r="I23" s="86">
        <v>8842</v>
      </c>
      <c r="J23" s="86">
        <v>50722</v>
      </c>
      <c r="K23" s="86">
        <v>115995</v>
      </c>
      <c r="L23" s="86">
        <v>53171</v>
      </c>
      <c r="M23" s="86">
        <v>169166</v>
      </c>
    </row>
    <row r="24" spans="1:13" s="84" customFormat="1" ht="16" x14ac:dyDescent="0.2">
      <c r="A24" s="85" t="s">
        <v>150</v>
      </c>
      <c r="B24" s="86">
        <v>8326</v>
      </c>
      <c r="C24" s="86">
        <v>3037</v>
      </c>
      <c r="D24" s="86">
        <v>2495</v>
      </c>
      <c r="E24" s="86">
        <v>1852</v>
      </c>
      <c r="F24" s="86">
        <v>3527</v>
      </c>
      <c r="G24" s="86">
        <v>1474</v>
      </c>
      <c r="H24" s="86">
        <v>2796</v>
      </c>
      <c r="I24" s="86">
        <v>5676</v>
      </c>
      <c r="J24" s="86">
        <v>47404</v>
      </c>
      <c r="K24" s="86">
        <v>76588</v>
      </c>
      <c r="L24" s="86">
        <v>23442</v>
      </c>
      <c r="M24" s="86">
        <v>100030</v>
      </c>
    </row>
    <row r="25" spans="1:13" s="84" customFormat="1" ht="16" x14ac:dyDescent="0.2">
      <c r="A25" s="85" t="s">
        <v>151</v>
      </c>
      <c r="B25" s="86">
        <v>3168613</v>
      </c>
      <c r="C25" s="86">
        <v>776882</v>
      </c>
      <c r="D25" s="86">
        <v>511386</v>
      </c>
      <c r="E25" s="86">
        <v>272616</v>
      </c>
      <c r="F25" s="86">
        <v>364515</v>
      </c>
      <c r="G25" s="86">
        <v>147466</v>
      </c>
      <c r="H25" s="86">
        <v>188614</v>
      </c>
      <c r="I25" s="86">
        <v>231616</v>
      </c>
      <c r="J25" s="86">
        <v>1459666</v>
      </c>
      <c r="K25" s="86">
        <v>7121374</v>
      </c>
      <c r="L25" s="86">
        <v>6243670</v>
      </c>
      <c r="M25" s="86">
        <v>13365044</v>
      </c>
    </row>
    <row r="26" spans="1:13" s="84" customFormat="1" ht="34" x14ac:dyDescent="0.2">
      <c r="A26" s="81" t="s">
        <v>153</v>
      </c>
      <c r="B26" s="82" t="s">
        <v>131</v>
      </c>
      <c r="C26" s="82" t="s">
        <v>132</v>
      </c>
      <c r="D26" s="82" t="s">
        <v>133</v>
      </c>
      <c r="E26" s="82" t="s">
        <v>134</v>
      </c>
      <c r="F26" s="82" t="s">
        <v>135</v>
      </c>
      <c r="G26" s="82" t="s">
        <v>136</v>
      </c>
      <c r="H26" s="83" t="s">
        <v>137</v>
      </c>
      <c r="I26" s="83" t="s">
        <v>138</v>
      </c>
      <c r="J26" s="83" t="s">
        <v>139</v>
      </c>
      <c r="K26" s="82" t="s">
        <v>140</v>
      </c>
      <c r="L26" s="82" t="s">
        <v>141</v>
      </c>
      <c r="M26" s="82" t="s">
        <v>142</v>
      </c>
    </row>
    <row r="27" spans="1:13" s="84" customFormat="1" ht="16" x14ac:dyDescent="0.2">
      <c r="A27" s="85" t="s">
        <v>143</v>
      </c>
      <c r="B27" s="86">
        <v>72539</v>
      </c>
      <c r="C27" s="86">
        <v>21177</v>
      </c>
      <c r="D27" s="86">
        <v>5866</v>
      </c>
      <c r="E27" s="86">
        <v>3503</v>
      </c>
      <c r="F27" s="86">
        <v>3952</v>
      </c>
      <c r="G27" s="86">
        <v>1616</v>
      </c>
      <c r="H27" s="86">
        <v>2510</v>
      </c>
      <c r="I27" s="86">
        <v>7649</v>
      </c>
      <c r="J27" s="86">
        <v>39449</v>
      </c>
      <c r="K27" s="86">
        <v>158262</v>
      </c>
      <c r="L27" s="86">
        <v>109151</v>
      </c>
      <c r="M27" s="86">
        <v>267413</v>
      </c>
    </row>
    <row r="28" spans="1:13" s="84" customFormat="1" ht="16" x14ac:dyDescent="0.2">
      <c r="A28" s="85" t="s">
        <v>144</v>
      </c>
      <c r="B28" s="86">
        <v>72012</v>
      </c>
      <c r="C28" s="86">
        <v>19508</v>
      </c>
      <c r="D28" s="86">
        <v>3363</v>
      </c>
      <c r="E28" s="86">
        <v>2654</v>
      </c>
      <c r="F28" s="86">
        <v>3317</v>
      </c>
      <c r="G28" s="86">
        <v>1074</v>
      </c>
      <c r="H28" s="86">
        <v>2967</v>
      </c>
      <c r="I28" s="86">
        <v>8173</v>
      </c>
      <c r="J28" s="86">
        <v>40783</v>
      </c>
      <c r="K28" s="86">
        <v>153850</v>
      </c>
      <c r="L28" s="86">
        <v>135337</v>
      </c>
      <c r="M28" s="86">
        <v>289187</v>
      </c>
    </row>
    <row r="29" spans="1:13" s="84" customFormat="1" ht="16" x14ac:dyDescent="0.2">
      <c r="A29" s="85" t="s">
        <v>145</v>
      </c>
      <c r="B29" s="86">
        <v>216259</v>
      </c>
      <c r="C29" s="86">
        <v>53665</v>
      </c>
      <c r="D29" s="86">
        <v>16204</v>
      </c>
      <c r="E29" s="86">
        <v>9368</v>
      </c>
      <c r="F29" s="86">
        <v>11374</v>
      </c>
      <c r="G29" s="86">
        <v>6173</v>
      </c>
      <c r="H29" s="86">
        <v>10183</v>
      </c>
      <c r="I29" s="86">
        <v>29448</v>
      </c>
      <c r="J29" s="86">
        <v>140066</v>
      </c>
      <c r="K29" s="86">
        <v>492740</v>
      </c>
      <c r="L29" s="86">
        <v>407756</v>
      </c>
      <c r="M29" s="86">
        <v>900496</v>
      </c>
    </row>
    <row r="30" spans="1:13" s="84" customFormat="1" ht="16" x14ac:dyDescent="0.2">
      <c r="A30" s="85" t="s">
        <v>146</v>
      </c>
      <c r="B30" s="86">
        <v>250966</v>
      </c>
      <c r="C30" s="86">
        <v>72946</v>
      </c>
      <c r="D30" s="86">
        <v>20601</v>
      </c>
      <c r="E30" s="86">
        <v>10543</v>
      </c>
      <c r="F30" s="86">
        <v>11668</v>
      </c>
      <c r="G30" s="86">
        <v>4750</v>
      </c>
      <c r="H30" s="86">
        <v>6624</v>
      </c>
      <c r="I30" s="86">
        <v>24312</v>
      </c>
      <c r="J30" s="86">
        <v>109665</v>
      </c>
      <c r="K30" s="86">
        <v>512074</v>
      </c>
      <c r="L30" s="86">
        <v>249580</v>
      </c>
      <c r="M30" s="86">
        <v>761655</v>
      </c>
    </row>
    <row r="31" spans="1:13" s="84" customFormat="1" ht="16" x14ac:dyDescent="0.2">
      <c r="A31" s="85" t="s">
        <v>147</v>
      </c>
      <c r="B31" s="86">
        <v>352978</v>
      </c>
      <c r="C31" s="86">
        <v>116876</v>
      </c>
      <c r="D31" s="86">
        <v>35462</v>
      </c>
      <c r="E31" s="86">
        <v>18267</v>
      </c>
      <c r="F31" s="86">
        <v>22268</v>
      </c>
      <c r="G31" s="86">
        <v>9327</v>
      </c>
      <c r="H31" s="86">
        <v>13328</v>
      </c>
      <c r="I31" s="86">
        <v>34192</v>
      </c>
      <c r="J31" s="86">
        <v>165683</v>
      </c>
      <c r="K31" s="86">
        <v>768381</v>
      </c>
      <c r="L31" s="86">
        <v>210671</v>
      </c>
      <c r="M31" s="86">
        <v>979052</v>
      </c>
    </row>
    <row r="32" spans="1:13" s="84" customFormat="1" ht="16" x14ac:dyDescent="0.2">
      <c r="A32" s="85" t="s">
        <v>148</v>
      </c>
      <c r="B32" s="86">
        <v>239327</v>
      </c>
      <c r="C32" s="86">
        <v>86228</v>
      </c>
      <c r="D32" s="86">
        <v>42890</v>
      </c>
      <c r="E32" s="86">
        <v>20349</v>
      </c>
      <c r="F32" s="86">
        <v>21746</v>
      </c>
      <c r="G32" s="86">
        <v>9612</v>
      </c>
      <c r="H32" s="86">
        <v>14235</v>
      </c>
      <c r="I32" s="86">
        <v>33932</v>
      </c>
      <c r="J32" s="86">
        <v>174178</v>
      </c>
      <c r="K32" s="86">
        <v>642498</v>
      </c>
      <c r="L32" s="86">
        <v>133619</v>
      </c>
      <c r="M32" s="86">
        <v>776117</v>
      </c>
    </row>
    <row r="33" spans="1:13" s="84" customFormat="1" ht="16" x14ac:dyDescent="0.2">
      <c r="A33" s="85" t="s">
        <v>149</v>
      </c>
      <c r="B33" s="86">
        <v>38119</v>
      </c>
      <c r="C33" s="86">
        <v>15724</v>
      </c>
      <c r="D33" s="86">
        <v>10731</v>
      </c>
      <c r="E33" s="86">
        <v>5419</v>
      </c>
      <c r="F33" s="86">
        <v>6964</v>
      </c>
      <c r="G33" s="86">
        <v>3173</v>
      </c>
      <c r="H33" s="86">
        <v>4744</v>
      </c>
      <c r="I33" s="86">
        <v>10303</v>
      </c>
      <c r="J33" s="86">
        <v>58923</v>
      </c>
      <c r="K33" s="86">
        <v>154099</v>
      </c>
      <c r="L33" s="86">
        <v>25318</v>
      </c>
      <c r="M33" s="86">
        <v>179418</v>
      </c>
    </row>
    <row r="34" spans="1:13" s="84" customFormat="1" ht="16" x14ac:dyDescent="0.2">
      <c r="A34" s="85" t="s">
        <v>150</v>
      </c>
      <c r="B34" s="86">
        <v>19863</v>
      </c>
      <c r="C34" s="86">
        <v>10248</v>
      </c>
      <c r="D34" s="86">
        <v>8060</v>
      </c>
      <c r="E34" s="86">
        <v>4083</v>
      </c>
      <c r="F34" s="86">
        <v>6673</v>
      </c>
      <c r="G34" s="86">
        <v>2945</v>
      </c>
      <c r="H34" s="86">
        <v>5839</v>
      </c>
      <c r="I34" s="86">
        <v>17940</v>
      </c>
      <c r="J34" s="86">
        <v>111509</v>
      </c>
      <c r="K34" s="86">
        <v>187161</v>
      </c>
      <c r="L34" s="86">
        <v>16475</v>
      </c>
      <c r="M34" s="86">
        <v>203636</v>
      </c>
    </row>
    <row r="35" spans="1:13" s="84" customFormat="1" ht="16" x14ac:dyDescent="0.2">
      <c r="A35" s="85" t="s">
        <v>151</v>
      </c>
      <c r="B35" s="86">
        <v>1262061</v>
      </c>
      <c r="C35" s="86">
        <v>396373</v>
      </c>
      <c r="D35" s="86">
        <v>143177</v>
      </c>
      <c r="E35" s="86">
        <v>74187</v>
      </c>
      <c r="F35" s="86">
        <v>87963</v>
      </c>
      <c r="G35" s="86">
        <v>38669</v>
      </c>
      <c r="H35" s="86">
        <v>60430</v>
      </c>
      <c r="I35" s="86">
        <v>165949</v>
      </c>
      <c r="J35" s="86">
        <v>840257</v>
      </c>
      <c r="K35" s="86">
        <v>3069066</v>
      </c>
      <c r="L35" s="86">
        <v>1287907</v>
      </c>
      <c r="M35" s="86">
        <v>4356973</v>
      </c>
    </row>
    <row r="36" spans="1:13" s="84" customFormat="1" ht="34" x14ac:dyDescent="0.2">
      <c r="A36" s="87" t="s">
        <v>154</v>
      </c>
      <c r="B36" s="82" t="s">
        <v>131</v>
      </c>
      <c r="C36" s="82" t="s">
        <v>132</v>
      </c>
      <c r="D36" s="82" t="s">
        <v>133</v>
      </c>
      <c r="E36" s="82" t="s">
        <v>134</v>
      </c>
      <c r="F36" s="82" t="s">
        <v>135</v>
      </c>
      <c r="G36" s="82" t="s">
        <v>136</v>
      </c>
      <c r="H36" s="83" t="s">
        <v>137</v>
      </c>
      <c r="I36" s="83" t="s">
        <v>138</v>
      </c>
      <c r="J36" s="83" t="s">
        <v>139</v>
      </c>
      <c r="K36" s="82" t="s">
        <v>140</v>
      </c>
      <c r="L36" s="82" t="s">
        <v>141</v>
      </c>
      <c r="M36" s="82" t="s">
        <v>142</v>
      </c>
    </row>
    <row r="37" spans="1:13" s="84" customFormat="1" ht="16" x14ac:dyDescent="0.2">
      <c r="A37" s="88" t="s">
        <v>143</v>
      </c>
      <c r="B37" s="86">
        <v>7583</v>
      </c>
      <c r="C37" s="86">
        <v>4538</v>
      </c>
      <c r="D37" s="86">
        <v>3765</v>
      </c>
      <c r="E37" s="86">
        <v>1845</v>
      </c>
      <c r="F37" s="86">
        <v>1233</v>
      </c>
      <c r="G37" s="86">
        <v>695</v>
      </c>
      <c r="H37" s="86">
        <v>554</v>
      </c>
      <c r="I37" s="86">
        <v>1405</v>
      </c>
      <c r="J37" s="86">
        <v>6544</v>
      </c>
      <c r="K37" s="86">
        <v>28162</v>
      </c>
      <c r="L37" s="86">
        <v>107140</v>
      </c>
      <c r="M37" s="86">
        <v>135303</v>
      </c>
    </row>
    <row r="38" spans="1:13" s="84" customFormat="1" ht="16" x14ac:dyDescent="0.2">
      <c r="A38" s="88" t="s">
        <v>144</v>
      </c>
      <c r="B38" s="86">
        <v>9299</v>
      </c>
      <c r="C38" s="86">
        <v>4148</v>
      </c>
      <c r="D38" s="86">
        <v>3287</v>
      </c>
      <c r="E38" s="86">
        <v>1047</v>
      </c>
      <c r="F38" s="86">
        <v>1641</v>
      </c>
      <c r="G38" s="86">
        <v>1378</v>
      </c>
      <c r="H38" s="86">
        <v>1216</v>
      </c>
      <c r="I38" s="86">
        <v>1030</v>
      </c>
      <c r="J38" s="86">
        <v>7700</v>
      </c>
      <c r="K38" s="86">
        <v>30747</v>
      </c>
      <c r="L38" s="86">
        <v>182660</v>
      </c>
      <c r="M38" s="86">
        <v>213407</v>
      </c>
    </row>
    <row r="39" spans="1:13" s="84" customFormat="1" ht="16" x14ac:dyDescent="0.2">
      <c r="A39" s="88" t="s">
        <v>145</v>
      </c>
      <c r="B39" s="86">
        <v>26636</v>
      </c>
      <c r="C39" s="86">
        <v>17278</v>
      </c>
      <c r="D39" s="86">
        <v>9307</v>
      </c>
      <c r="E39" s="86">
        <v>4888</v>
      </c>
      <c r="F39" s="86">
        <v>5868</v>
      </c>
      <c r="G39" s="86">
        <v>4136</v>
      </c>
      <c r="H39" s="86">
        <v>5293</v>
      </c>
      <c r="I39" s="86">
        <v>5468</v>
      </c>
      <c r="J39" s="86">
        <v>27689</v>
      </c>
      <c r="K39" s="86">
        <v>106563</v>
      </c>
      <c r="L39" s="86">
        <v>699050</v>
      </c>
      <c r="M39" s="86">
        <v>805614</v>
      </c>
    </row>
    <row r="40" spans="1:13" s="84" customFormat="1" ht="16" x14ac:dyDescent="0.2">
      <c r="A40" s="88" t="s">
        <v>146</v>
      </c>
      <c r="B40" s="86">
        <v>37454</v>
      </c>
      <c r="C40" s="86">
        <v>26084</v>
      </c>
      <c r="D40" s="86">
        <v>18043</v>
      </c>
      <c r="E40" s="86">
        <v>7711</v>
      </c>
      <c r="F40" s="86">
        <v>6183</v>
      </c>
      <c r="G40" s="86">
        <v>4921</v>
      </c>
      <c r="H40" s="86">
        <v>6276</v>
      </c>
      <c r="I40" s="86">
        <v>8434</v>
      </c>
      <c r="J40" s="86">
        <v>31005</v>
      </c>
      <c r="K40" s="86">
        <v>146111</v>
      </c>
      <c r="L40" s="86">
        <v>576818</v>
      </c>
      <c r="M40" s="86">
        <v>722928</v>
      </c>
    </row>
    <row r="41" spans="1:13" s="84" customFormat="1" ht="16" x14ac:dyDescent="0.2">
      <c r="A41" s="88" t="s">
        <v>147</v>
      </c>
      <c r="B41" s="86">
        <v>44399</v>
      </c>
      <c r="C41" s="86">
        <v>40585</v>
      </c>
      <c r="D41" s="86">
        <v>27635</v>
      </c>
      <c r="E41" s="86">
        <v>13222</v>
      </c>
      <c r="F41" s="86">
        <v>11901</v>
      </c>
      <c r="G41" s="86">
        <v>7641</v>
      </c>
      <c r="H41" s="86">
        <v>9479</v>
      </c>
      <c r="I41" s="86">
        <v>14360</v>
      </c>
      <c r="J41" s="86">
        <v>43473</v>
      </c>
      <c r="K41" s="86">
        <v>212696</v>
      </c>
      <c r="L41" s="86">
        <v>660976</v>
      </c>
      <c r="M41" s="86">
        <v>873672</v>
      </c>
    </row>
    <row r="42" spans="1:13" s="84" customFormat="1" ht="16" x14ac:dyDescent="0.2">
      <c r="A42" s="88" t="s">
        <v>148</v>
      </c>
      <c r="B42" s="86">
        <v>20961</v>
      </c>
      <c r="C42" s="86">
        <v>20655</v>
      </c>
      <c r="D42" s="86">
        <v>19787</v>
      </c>
      <c r="E42" s="86">
        <v>9875</v>
      </c>
      <c r="F42" s="86">
        <v>11803</v>
      </c>
      <c r="G42" s="86">
        <v>9575</v>
      </c>
      <c r="H42" s="86">
        <v>9141</v>
      </c>
      <c r="I42" s="86">
        <v>14697</v>
      </c>
      <c r="J42" s="86">
        <v>42538</v>
      </c>
      <c r="K42" s="86">
        <v>159031</v>
      </c>
      <c r="L42" s="86">
        <v>432869</v>
      </c>
      <c r="M42" s="86">
        <v>591899</v>
      </c>
    </row>
    <row r="43" spans="1:13" s="84" customFormat="1" ht="16" x14ac:dyDescent="0.2">
      <c r="A43" s="88" t="s">
        <v>149</v>
      </c>
      <c r="B43" s="86">
        <v>2030</v>
      </c>
      <c r="C43" s="86">
        <v>2833</v>
      </c>
      <c r="D43" s="86">
        <v>2435</v>
      </c>
      <c r="E43" s="86">
        <v>1573</v>
      </c>
      <c r="F43" s="86">
        <v>2340</v>
      </c>
      <c r="G43" s="86">
        <v>1974</v>
      </c>
      <c r="H43" s="86">
        <v>2196</v>
      </c>
      <c r="I43" s="86">
        <v>4038</v>
      </c>
      <c r="J43" s="86">
        <v>12653</v>
      </c>
      <c r="K43" s="86">
        <v>32071</v>
      </c>
      <c r="L43" s="86">
        <v>91183</v>
      </c>
      <c r="M43" s="86">
        <v>123254</v>
      </c>
    </row>
    <row r="44" spans="1:13" s="84" customFormat="1" ht="16" x14ac:dyDescent="0.2">
      <c r="A44" s="88" t="s">
        <v>150</v>
      </c>
      <c r="B44" s="86">
        <v>645</v>
      </c>
      <c r="C44" s="86">
        <v>1003</v>
      </c>
      <c r="D44" s="86">
        <v>963</v>
      </c>
      <c r="E44" s="86">
        <v>896</v>
      </c>
      <c r="F44" s="86">
        <v>1084</v>
      </c>
      <c r="G44" s="86">
        <v>1001</v>
      </c>
      <c r="H44" s="86">
        <v>1603</v>
      </c>
      <c r="I44" s="86">
        <v>3385</v>
      </c>
      <c r="J44" s="86">
        <v>13322</v>
      </c>
      <c r="K44" s="86">
        <v>23901</v>
      </c>
      <c r="L44" s="86">
        <v>86756</v>
      </c>
      <c r="M44" s="86">
        <v>110657</v>
      </c>
    </row>
    <row r="45" spans="1:13" s="84" customFormat="1" ht="16" x14ac:dyDescent="0.2">
      <c r="A45" s="85" t="s">
        <v>151</v>
      </c>
      <c r="B45" s="86">
        <v>149008</v>
      </c>
      <c r="C45" s="86">
        <v>117124</v>
      </c>
      <c r="D45" s="86">
        <v>85222</v>
      </c>
      <c r="E45" s="86">
        <v>41056</v>
      </c>
      <c r="F45" s="86">
        <v>42053</v>
      </c>
      <c r="G45" s="86">
        <v>31321</v>
      </c>
      <c r="H45" s="86">
        <v>35756</v>
      </c>
      <c r="I45" s="86">
        <v>52817</v>
      </c>
      <c r="J45" s="86">
        <v>184926</v>
      </c>
      <c r="K45" s="86">
        <v>739282</v>
      </c>
      <c r="L45" s="86">
        <v>2837452</v>
      </c>
      <c r="M45" s="86">
        <v>3576734</v>
      </c>
    </row>
    <row r="46" spans="1:13" s="84" customFormat="1" ht="16" x14ac:dyDescent="0.2">
      <c r="A46" s="89" t="s">
        <v>16</v>
      </c>
    </row>
    <row r="47" spans="1:13" x14ac:dyDescent="0.15">
      <c r="A47" s="79"/>
    </row>
    <row r="48" spans="1:13" x14ac:dyDescent="0.15">
      <c r="A48" s="79"/>
    </row>
    <row r="49" spans="1:1" x14ac:dyDescent="0.15">
      <c r="A49" s="79"/>
    </row>
  </sheetData>
  <pageMargins left="0.74803149606299213" right="0.74803149606299213" top="0.98425196850393704" bottom="0.98425196850393704" header="0.511811023622047" footer="0.511811023622047"/>
  <pageSetup paperSize="0" scale="57" fitToWidth="0" fitToHeight="0" orientation="portrait" horizontalDpi="0" verticalDpi="0" copies="0"/>
  <headerFooter alignWithMargins="0">
    <oddFooter>&amp;C&amp;1#&amp;"Calibri,Regular"&amp;10OFFICIAL</oddFooter>
  </headerFooter>
  <tableParts count="4">
    <tablePart r:id="rId1"/>
    <tablePart r:id="rId2"/>
    <tablePart r:id="rId3"/>
    <tablePart r:id="rId4"/>
  </tableParts>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8"/>
  <sheetViews>
    <sheetView topLeftCell="H7" zoomScale="150" workbookViewId="0">
      <selection activeCell="O20" sqref="O20"/>
    </sheetView>
  </sheetViews>
  <sheetFormatPr baseColWidth="10" defaultColWidth="22.6640625" defaultRowHeight="13" x14ac:dyDescent="0.15"/>
  <cols>
    <col min="1" max="1" width="28.83203125" customWidth="1"/>
    <col min="2" max="4" width="17.83203125" customWidth="1"/>
    <col min="5" max="5" width="19.5" customWidth="1"/>
    <col min="6" max="7" width="17.83203125" customWidth="1"/>
    <col min="8" max="8" width="22.6640625" customWidth="1"/>
  </cols>
  <sheetData>
    <row r="1" spans="1:10" s="2" customFormat="1" ht="23" x14ac:dyDescent="0.25">
      <c r="A1" s="90" t="s">
        <v>155</v>
      </c>
      <c r="B1" s="78"/>
    </row>
    <row r="2" spans="1:10" s="93" customFormat="1" ht="18" x14ac:dyDescent="0.15">
      <c r="A2" s="91" t="s">
        <v>156</v>
      </c>
      <c r="B2" s="92"/>
    </row>
    <row r="3" spans="1:10" s="93" customFormat="1" ht="18" x14ac:dyDescent="0.15">
      <c r="A3" s="91" t="s">
        <v>127</v>
      </c>
      <c r="B3" s="92"/>
    </row>
    <row r="4" spans="1:10" s="93" customFormat="1" ht="18" x14ac:dyDescent="0.15">
      <c r="A4" s="91" t="s">
        <v>128</v>
      </c>
      <c r="B4" s="92"/>
    </row>
    <row r="5" spans="1:10" s="93" customFormat="1" ht="18" x14ac:dyDescent="0.15">
      <c r="A5" s="91" t="s">
        <v>129</v>
      </c>
      <c r="B5" s="92"/>
    </row>
    <row r="6" spans="1:10" s="95" customFormat="1" ht="51" x14ac:dyDescent="0.15">
      <c r="A6" s="94" t="s">
        <v>157</v>
      </c>
      <c r="B6" s="82" t="s">
        <v>158</v>
      </c>
      <c r="C6" s="82" t="s">
        <v>159</v>
      </c>
      <c r="D6" s="82" t="s">
        <v>160</v>
      </c>
      <c r="E6" s="82" t="s">
        <v>140</v>
      </c>
      <c r="F6" s="82" t="s">
        <v>141</v>
      </c>
      <c r="G6" s="82" t="s">
        <v>161</v>
      </c>
      <c r="I6" s="82" t="s">
        <v>237</v>
      </c>
      <c r="J6" s="82" t="s">
        <v>238</v>
      </c>
    </row>
    <row r="7" spans="1:10" ht="17" x14ac:dyDescent="0.2">
      <c r="A7" s="81" t="s">
        <v>162</v>
      </c>
      <c r="B7" s="86">
        <v>256786</v>
      </c>
      <c r="C7" s="86">
        <v>173736</v>
      </c>
      <c r="D7" s="86">
        <v>47968</v>
      </c>
      <c r="E7" s="86">
        <v>478490</v>
      </c>
      <c r="F7" s="86">
        <v>254340</v>
      </c>
      <c r="G7" s="86">
        <v>732830</v>
      </c>
      <c r="H7" s="31"/>
      <c r="I7">
        <f>T9.8_age_sex_subs[[#This Row],[Cash ISA
(thousands)]]/T9.8_age_sex_subs[[#This Row],[All Subscriptions
(thousands)]] * 100</f>
        <v>53.665907333486594</v>
      </c>
      <c r="J7">
        <f>T9.8_age_sex_subs[[#This Row],[Stocks &amp; Shares ISA
(thousands)]]/T9.8_age_sex_subs[[#This Row],[All Subscriptions
(thousands)]]*100</f>
        <v>36.309222763276139</v>
      </c>
    </row>
    <row r="8" spans="1:10" ht="17" x14ac:dyDescent="0.2">
      <c r="A8" s="81" t="s">
        <v>163</v>
      </c>
      <c r="B8" s="86">
        <v>537599</v>
      </c>
      <c r="C8" s="86">
        <v>390215</v>
      </c>
      <c r="D8" s="86">
        <v>108742</v>
      </c>
      <c r="E8" s="86">
        <v>1036557</v>
      </c>
      <c r="F8" s="86">
        <v>648239</v>
      </c>
      <c r="G8" s="86">
        <v>1684796</v>
      </c>
      <c r="H8" s="31"/>
      <c r="I8">
        <f>T9.8_age_sex_subs[[#This Row],[Cash ISA
(thousands)]]/T9.8_age_sex_subs[[#This Row],[All Subscriptions
(thousands)]] * 100</f>
        <v>51.863911005376451</v>
      </c>
      <c r="J8">
        <f>T9.8_age_sex_subs[[#This Row],[Stocks &amp; Shares ISA
(thousands)]]/T9.8_age_sex_subs[[#This Row],[All Subscriptions
(thousands)]]*100</f>
        <v>37.645300740817923</v>
      </c>
    </row>
    <row r="9" spans="1:10" ht="17" x14ac:dyDescent="0.2">
      <c r="A9" s="81" t="s">
        <v>164</v>
      </c>
      <c r="B9" s="86">
        <v>474766</v>
      </c>
      <c r="C9" s="86">
        <v>306023</v>
      </c>
      <c r="D9" s="86">
        <v>72883</v>
      </c>
      <c r="E9" s="86">
        <v>853672</v>
      </c>
      <c r="F9" s="86">
        <v>754872</v>
      </c>
      <c r="G9" s="86">
        <v>1608544</v>
      </c>
      <c r="H9" s="31"/>
      <c r="I9">
        <f>T9.8_age_sex_subs[[#This Row],[Cash ISA
(thousands)]]/T9.8_age_sex_subs[[#This Row],[All Subscriptions
(thousands)]] * 100</f>
        <v>55.614568593089622</v>
      </c>
      <c r="J9">
        <f>T9.8_age_sex_subs[[#This Row],[Stocks &amp; Shares ISA
(thousands)]]/T9.8_age_sex_subs[[#This Row],[All Subscriptions
(thousands)]]*100</f>
        <v>35.847843199730107</v>
      </c>
    </row>
    <row r="10" spans="1:10" ht="17" x14ac:dyDescent="0.2">
      <c r="A10" s="81" t="s">
        <v>165</v>
      </c>
      <c r="B10" s="86">
        <v>435298</v>
      </c>
      <c r="C10" s="86">
        <v>306871</v>
      </c>
      <c r="D10" s="86">
        <v>58860</v>
      </c>
      <c r="E10" s="86">
        <v>801029</v>
      </c>
      <c r="F10" s="86">
        <v>788856</v>
      </c>
      <c r="G10" s="86">
        <v>1589885</v>
      </c>
      <c r="H10" s="31"/>
      <c r="I10">
        <f>T9.8_age_sex_subs[[#This Row],[Cash ISA
(thousands)]]/T9.8_age_sex_subs[[#This Row],[All Subscriptions
(thousands)]] * 100</f>
        <v>54.342352149547644</v>
      </c>
      <c r="J10">
        <f>T9.8_age_sex_subs[[#This Row],[Stocks &amp; Shares ISA
(thousands)]]/T9.8_age_sex_subs[[#This Row],[All Subscriptions
(thousands)]]*100</f>
        <v>38.309599277928761</v>
      </c>
    </row>
    <row r="11" spans="1:10" ht="17" x14ac:dyDescent="0.2">
      <c r="A11" s="81" t="s">
        <v>166</v>
      </c>
      <c r="B11" s="86">
        <v>533657</v>
      </c>
      <c r="C11" s="86">
        <v>315246</v>
      </c>
      <c r="D11" s="86">
        <v>63420</v>
      </c>
      <c r="E11" s="86">
        <v>912323</v>
      </c>
      <c r="F11" s="86">
        <v>871678</v>
      </c>
      <c r="G11" s="86">
        <v>1784002</v>
      </c>
      <c r="H11" s="31"/>
      <c r="I11">
        <f>T9.8_age_sex_subs[[#This Row],[Cash ISA
(thousands)]]/T9.8_age_sex_subs[[#This Row],[All Subscriptions
(thousands)]] * 100</f>
        <v>58.494305196734054</v>
      </c>
      <c r="J11">
        <f>T9.8_age_sex_subs[[#This Row],[Stocks &amp; Shares ISA
(thousands)]]/T9.8_age_sex_subs[[#This Row],[All Subscriptions
(thousands)]]*100</f>
        <v>34.554209419251734</v>
      </c>
    </row>
    <row r="12" spans="1:10" ht="17" x14ac:dyDescent="0.2">
      <c r="A12" s="81" t="s">
        <v>167</v>
      </c>
      <c r="B12" s="86">
        <v>861479</v>
      </c>
      <c r="C12" s="86">
        <v>293008</v>
      </c>
      <c r="D12" s="86">
        <v>52256</v>
      </c>
      <c r="E12" s="86">
        <v>1206743</v>
      </c>
      <c r="F12" s="86">
        <v>1711595</v>
      </c>
      <c r="G12" s="86">
        <v>2918338</v>
      </c>
      <c r="H12" s="31"/>
      <c r="I12">
        <f>T9.8_age_sex_subs[[#This Row],[Cash ISA
(thousands)]]/T9.8_age_sex_subs[[#This Row],[All Subscriptions
(thousands)]] * 100</f>
        <v>71.388771262812384</v>
      </c>
      <c r="J12">
        <f>T9.8_age_sex_subs[[#This Row],[Stocks &amp; Shares ISA
(thousands)]]/T9.8_age_sex_subs[[#This Row],[All Subscriptions
(thousands)]]*100</f>
        <v>24.280894937861667</v>
      </c>
    </row>
    <row r="13" spans="1:10" ht="17" x14ac:dyDescent="0.2">
      <c r="A13" s="81" t="s">
        <v>168</v>
      </c>
      <c r="B13" s="86">
        <v>3099585</v>
      </c>
      <c r="C13" s="86">
        <v>1785100</v>
      </c>
      <c r="D13" s="86">
        <v>404130</v>
      </c>
      <c r="E13" s="86">
        <v>5288815</v>
      </c>
      <c r="F13" s="86">
        <v>5029580</v>
      </c>
      <c r="G13" s="86">
        <v>10318394</v>
      </c>
      <c r="H13" s="31"/>
      <c r="I13">
        <f>T9.8_age_sex_subs[[#This Row],[Cash ISA
(thousands)]]/T9.8_age_sex_subs[[#This Row],[All Subscriptions
(thousands)]] * 100</f>
        <v>58.606417505622709</v>
      </c>
      <c r="J13">
        <f>T9.8_age_sex_subs[[#This Row],[Stocks &amp; Shares ISA
(thousands)]]/T9.8_age_sex_subs[[#This Row],[All Subscriptions
(thousands)]]*100</f>
        <v>33.752362296658134</v>
      </c>
    </row>
    <row r="14" spans="1:10" ht="17" x14ac:dyDescent="0.2">
      <c r="A14" s="81" t="s">
        <v>169</v>
      </c>
      <c r="B14" s="86">
        <v>360907</v>
      </c>
      <c r="C14" s="86">
        <v>119858</v>
      </c>
      <c r="D14" s="86">
        <v>36548</v>
      </c>
      <c r="E14" s="86">
        <v>517313</v>
      </c>
      <c r="F14" s="86">
        <v>250713</v>
      </c>
      <c r="G14" s="86">
        <v>768027</v>
      </c>
      <c r="H14" s="31"/>
      <c r="I14">
        <f>T9.8_age_sex_subs[[#This Row],[Cash ISA
(thousands)]]/T9.8_age_sex_subs[[#This Row],[All Subscriptions
(thousands)]] * 100</f>
        <v>69.765693110360644</v>
      </c>
      <c r="J14">
        <f>T9.8_age_sex_subs[[#This Row],[Stocks &amp; Shares ISA
(thousands)]]/T9.8_age_sex_subs[[#This Row],[All Subscriptions
(thousands)]]*100</f>
        <v>23.169338485597692</v>
      </c>
    </row>
    <row r="15" spans="1:10" ht="17" x14ac:dyDescent="0.2">
      <c r="A15" s="81" t="s">
        <v>170</v>
      </c>
      <c r="B15" s="86">
        <v>739273</v>
      </c>
      <c r="C15" s="86">
        <v>250941</v>
      </c>
      <c r="D15" s="86">
        <v>90050</v>
      </c>
      <c r="E15" s="86">
        <v>1080263</v>
      </c>
      <c r="F15" s="86">
        <v>606925</v>
      </c>
      <c r="G15" s="86">
        <v>1687188</v>
      </c>
      <c r="H15" s="31"/>
      <c r="I15">
        <f>T9.8_age_sex_subs[[#This Row],[Cash ISA
(thousands)]]/T9.8_age_sex_subs[[#This Row],[All Subscriptions
(thousands)]] * 100</f>
        <v>68.434538626241945</v>
      </c>
      <c r="J15">
        <f>T9.8_age_sex_subs[[#This Row],[Stocks &amp; Shares ISA
(thousands)]]/T9.8_age_sex_subs[[#This Row],[All Subscriptions
(thousands)]]*100</f>
        <v>23.229620934901966</v>
      </c>
    </row>
    <row r="16" spans="1:10" ht="17" x14ac:dyDescent="0.2">
      <c r="A16" s="81" t="s">
        <v>171</v>
      </c>
      <c r="B16" s="86">
        <v>637103</v>
      </c>
      <c r="C16" s="86">
        <v>191276</v>
      </c>
      <c r="D16" s="86">
        <v>60930</v>
      </c>
      <c r="E16" s="86">
        <v>889309</v>
      </c>
      <c r="F16" s="86">
        <v>793853</v>
      </c>
      <c r="G16" s="86">
        <v>1683162</v>
      </c>
      <c r="H16" s="31"/>
      <c r="I16">
        <f>T9.8_age_sex_subs[[#This Row],[Cash ISA
(thousands)]]/T9.8_age_sex_subs[[#This Row],[All Subscriptions
(thousands)]] * 100</f>
        <v>71.640228536987706</v>
      </c>
      <c r="J16">
        <f>T9.8_age_sex_subs[[#This Row],[Stocks &amp; Shares ISA
(thousands)]]/T9.8_age_sex_subs[[#This Row],[All Subscriptions
(thousands)]]*100</f>
        <v>21.508384599728554</v>
      </c>
    </row>
    <row r="17" spans="1:10" ht="17" x14ac:dyDescent="0.2">
      <c r="A17" s="81" t="s">
        <v>172</v>
      </c>
      <c r="B17" s="86">
        <v>616540</v>
      </c>
      <c r="C17" s="86">
        <v>215315</v>
      </c>
      <c r="D17" s="86">
        <v>50652</v>
      </c>
      <c r="E17" s="86">
        <v>882506</v>
      </c>
      <c r="F17" s="86">
        <v>829304</v>
      </c>
      <c r="G17" s="86">
        <v>1711811</v>
      </c>
      <c r="H17" s="31"/>
      <c r="I17">
        <f>T9.8_age_sex_subs[[#This Row],[Cash ISA
(thousands)]]/T9.8_age_sex_subs[[#This Row],[All Subscriptions
(thousands)]] * 100</f>
        <v>69.862414533158983</v>
      </c>
      <c r="J17">
        <f>T9.8_age_sex_subs[[#This Row],[Stocks &amp; Shares ISA
(thousands)]]/T9.8_age_sex_subs[[#This Row],[All Subscriptions
(thousands)]]*100</f>
        <v>24.398134403618783</v>
      </c>
    </row>
    <row r="18" spans="1:10" ht="17" x14ac:dyDescent="0.2">
      <c r="A18" s="81" t="s">
        <v>173</v>
      </c>
      <c r="B18" s="86">
        <v>703746</v>
      </c>
      <c r="C18" s="86">
        <v>254158</v>
      </c>
      <c r="D18" s="86">
        <v>56625</v>
      </c>
      <c r="E18" s="86">
        <v>1014529</v>
      </c>
      <c r="F18" s="86">
        <v>950500</v>
      </c>
      <c r="G18" s="86">
        <v>1965029</v>
      </c>
      <c r="H18" s="31"/>
      <c r="I18">
        <f>T9.8_age_sex_subs[[#This Row],[Cash ISA
(thousands)]]/T9.8_age_sex_subs[[#This Row],[All Subscriptions
(thousands)]] * 100</f>
        <v>69.366770195824856</v>
      </c>
      <c r="J18">
        <f>T9.8_age_sex_subs[[#This Row],[Stocks &amp; Shares ISA
(thousands)]]/T9.8_age_sex_subs[[#This Row],[All Subscriptions
(thousands)]]*100</f>
        <v>25.051822077042647</v>
      </c>
    </row>
    <row r="19" spans="1:10" ht="17" x14ac:dyDescent="0.2">
      <c r="A19" s="81" t="s">
        <v>174</v>
      </c>
      <c r="B19" s="86">
        <v>964221</v>
      </c>
      <c r="C19" s="86">
        <v>252418</v>
      </c>
      <c r="D19" s="86">
        <v>40348</v>
      </c>
      <c r="E19" s="86">
        <v>1256987</v>
      </c>
      <c r="F19" s="86">
        <v>1908153</v>
      </c>
      <c r="G19" s="86">
        <v>3165140</v>
      </c>
      <c r="H19" s="31"/>
      <c r="I19">
        <f>T9.8_age_sex_subs[[#This Row],[Cash ISA
(thousands)]]/T9.8_age_sex_subs[[#This Row],[All Subscriptions
(thousands)]] * 100</f>
        <v>76.708907888466626</v>
      </c>
      <c r="J19">
        <f>T9.8_age_sex_subs[[#This Row],[Stocks &amp; Shares ISA
(thousands)]]/T9.8_age_sex_subs[[#This Row],[All Subscriptions
(thousands)]]*100</f>
        <v>20.081194157139254</v>
      </c>
    </row>
    <row r="20" spans="1:10" ht="17" x14ac:dyDescent="0.2">
      <c r="A20" s="81" t="s">
        <v>175</v>
      </c>
      <c r="B20" s="86">
        <v>4021789</v>
      </c>
      <c r="C20" s="86">
        <v>1283966</v>
      </c>
      <c r="D20" s="86">
        <v>335152</v>
      </c>
      <c r="E20" s="86">
        <v>5640907</v>
      </c>
      <c r="F20" s="86">
        <v>5339449</v>
      </c>
      <c r="G20" s="86">
        <v>10980356</v>
      </c>
      <c r="H20" s="31"/>
      <c r="I20">
        <f>T9.8_age_sex_subs[[#This Row],[Cash ISA
(thousands)]]/T9.8_age_sex_subs[[#This Row],[All Subscriptions
(thousands)]] * 100</f>
        <v>71.296849956930686</v>
      </c>
      <c r="J20">
        <f>T9.8_age_sex_subs[[#This Row],[Stocks &amp; Shares ISA
(thousands)]]/T9.8_age_sex_subs[[#This Row],[All Subscriptions
(thousands)]]*100</f>
        <v>22.761694174358841</v>
      </c>
    </row>
    <row r="21" spans="1:10" ht="17" x14ac:dyDescent="0.2">
      <c r="A21" s="81" t="s">
        <v>176</v>
      </c>
      <c r="B21" s="86">
        <v>617693</v>
      </c>
      <c r="C21" s="86">
        <v>293594</v>
      </c>
      <c r="D21" s="86">
        <v>84516</v>
      </c>
      <c r="E21" s="86">
        <v>995803</v>
      </c>
      <c r="F21" s="86">
        <v>505053</v>
      </c>
      <c r="G21" s="86">
        <v>1500857</v>
      </c>
      <c r="I21">
        <f>T9.8_age_sex_subs[[#This Row],[Cash ISA
(thousands)]]/T9.8_age_sex_subs[[#This Row],[All Subscriptions
(thousands)]] * 100</f>
        <v>62.029638392332622</v>
      </c>
      <c r="J21">
        <f>T9.8_age_sex_subs[[#This Row],[Stocks &amp; Shares ISA
(thousands)]]/T9.8_age_sex_subs[[#This Row],[All Subscriptions
(thousands)]]*100</f>
        <v>29.483140741692885</v>
      </c>
    </row>
    <row r="22" spans="1:10" ht="17" x14ac:dyDescent="0.2">
      <c r="A22" s="81" t="s">
        <v>177</v>
      </c>
      <c r="B22" s="86">
        <v>1276872</v>
      </c>
      <c r="C22" s="86">
        <v>641157</v>
      </c>
      <c r="D22" s="86">
        <v>198792</v>
      </c>
      <c r="E22" s="86">
        <v>2116820</v>
      </c>
      <c r="F22" s="86">
        <v>1255164</v>
      </c>
      <c r="G22" s="86">
        <v>3371984</v>
      </c>
      <c r="I22">
        <f>T9.8_age_sex_subs[[#This Row],[Cash ISA
(thousands)]]/T9.8_age_sex_subs[[#This Row],[All Subscriptions
(thousands)]] * 100</f>
        <v>60.320291758392308</v>
      </c>
      <c r="J22">
        <f>T9.8_age_sex_subs[[#This Row],[Stocks &amp; Shares ISA
(thousands)]]/T9.8_age_sex_subs[[#This Row],[All Subscriptions
(thousands)]]*100</f>
        <v>30.288687748604037</v>
      </c>
    </row>
    <row r="23" spans="1:10" ht="17" x14ac:dyDescent="0.2">
      <c r="A23" s="81" t="s">
        <v>178</v>
      </c>
      <c r="B23" s="86">
        <v>1111870</v>
      </c>
      <c r="C23" s="86">
        <v>497299</v>
      </c>
      <c r="D23" s="86">
        <v>133812</v>
      </c>
      <c r="E23" s="86">
        <v>1742981</v>
      </c>
      <c r="F23" s="86">
        <v>1548725</v>
      </c>
      <c r="G23" s="86">
        <v>3291705</v>
      </c>
      <c r="I23">
        <f>T9.8_age_sex_subs[[#This Row],[Cash ISA
(thousands)]]/T9.8_age_sex_subs[[#This Row],[All Subscriptions
(thousands)]] * 100</f>
        <v>63.791286307768125</v>
      </c>
      <c r="J23">
        <f>T9.8_age_sex_subs[[#This Row],[Stocks &amp; Shares ISA
(thousands)]]/T9.8_age_sex_subs[[#This Row],[All Subscriptions
(thousands)]]*100</f>
        <v>28.531521571376857</v>
      </c>
    </row>
    <row r="24" spans="1:10" ht="17" x14ac:dyDescent="0.2">
      <c r="A24" s="81" t="s">
        <v>179</v>
      </c>
      <c r="B24" s="86">
        <v>1051837</v>
      </c>
      <c r="C24" s="86">
        <v>522186</v>
      </c>
      <c r="D24" s="86">
        <v>109512</v>
      </c>
      <c r="E24" s="86">
        <v>1683535</v>
      </c>
      <c r="F24" s="86">
        <v>1618160</v>
      </c>
      <c r="G24" s="86">
        <v>3301695</v>
      </c>
      <c r="I24">
        <f>T9.8_age_sex_subs[[#This Row],[Cash ISA
(thousands)]]/T9.8_age_sex_subs[[#This Row],[All Subscriptions
(thousands)]] * 100</f>
        <v>62.477881362727828</v>
      </c>
      <c r="J24">
        <f>T9.8_age_sex_subs[[#This Row],[Stocks &amp; Shares ISA
(thousands)]]/T9.8_age_sex_subs[[#This Row],[All Subscriptions
(thousands)]]*100</f>
        <v>31.017234568927883</v>
      </c>
    </row>
    <row r="25" spans="1:10" ht="17" x14ac:dyDescent="0.2">
      <c r="A25" s="81" t="s">
        <v>180</v>
      </c>
      <c r="B25" s="86">
        <v>1237403</v>
      </c>
      <c r="C25" s="86">
        <v>569404</v>
      </c>
      <c r="D25" s="86">
        <v>120045</v>
      </c>
      <c r="E25" s="86">
        <v>1926852</v>
      </c>
      <c r="F25" s="86">
        <v>1822179</v>
      </c>
      <c r="G25" s="86">
        <v>3749031</v>
      </c>
      <c r="I25">
        <f>T9.8_age_sex_subs[[#This Row],[Cash ISA
(thousands)]]/T9.8_age_sex_subs[[#This Row],[All Subscriptions
(thousands)]] * 100</f>
        <v>64.21889174674547</v>
      </c>
      <c r="J25">
        <f>T9.8_age_sex_subs[[#This Row],[Stocks &amp; Shares ISA
(thousands)]]/T9.8_age_sex_subs[[#This Row],[All Subscriptions
(thousands)]]*100</f>
        <v>29.55099820847683</v>
      </c>
    </row>
    <row r="26" spans="1:10" ht="17" x14ac:dyDescent="0.2">
      <c r="A26" s="81" t="s">
        <v>181</v>
      </c>
      <c r="B26" s="86">
        <v>1825700</v>
      </c>
      <c r="C26" s="86">
        <v>545427</v>
      </c>
      <c r="D26" s="86">
        <v>92604</v>
      </c>
      <c r="E26" s="86">
        <v>2463731</v>
      </c>
      <c r="F26" s="86">
        <v>3619748</v>
      </c>
      <c r="G26" s="86">
        <v>6083478</v>
      </c>
      <c r="I26">
        <f>T9.8_age_sex_subs[[#This Row],[Cash ISA
(thousands)]]/T9.8_age_sex_subs[[#This Row],[All Subscriptions
(thousands)]] * 100</f>
        <v>74.103057517237076</v>
      </c>
      <c r="J26">
        <f>T9.8_age_sex_subs[[#This Row],[Stocks &amp; Shares ISA
(thousands)]]/T9.8_age_sex_subs[[#This Row],[All Subscriptions
(thousands)]]*100</f>
        <v>22.138252918033665</v>
      </c>
    </row>
    <row r="27" spans="1:10" ht="17" x14ac:dyDescent="0.2">
      <c r="A27" s="81" t="s">
        <v>66</v>
      </c>
      <c r="B27" s="86">
        <v>7121374</v>
      </c>
      <c r="C27" s="86">
        <v>3069066</v>
      </c>
      <c r="D27" s="86">
        <v>739282</v>
      </c>
      <c r="E27" s="86">
        <v>10929722</v>
      </c>
      <c r="F27" s="86">
        <v>10369028</v>
      </c>
      <c r="G27" s="86">
        <v>21298750</v>
      </c>
      <c r="I27">
        <f>T9.8_age_sex_subs[[#This Row],[Cash ISA
(thousands)]]/T9.8_age_sex_subs[[#This Row],[All Subscriptions
(thousands)]] * 100</f>
        <v>65.156039650413803</v>
      </c>
      <c r="J27">
        <f>T9.8_age_sex_subs[[#This Row],[Stocks &amp; Shares ISA
(thousands)]]/T9.8_age_sex_subs[[#This Row],[All Subscriptions
(thousands)]]*100</f>
        <v>28.080000570920284</v>
      </c>
    </row>
    <row r="28" spans="1:10" ht="16" x14ac:dyDescent="0.2">
      <c r="A28" s="20" t="s">
        <v>16</v>
      </c>
      <c r="B28" s="84"/>
      <c r="C28" s="84"/>
      <c r="D28" s="84"/>
      <c r="E28" s="84"/>
      <c r="F28" s="84"/>
      <c r="G28" s="84"/>
      <c r="H28" s="96"/>
    </row>
  </sheetData>
  <pageMargins left="0.70000000000000007" right="0.70000000000000007" top="0.75" bottom="0.75" header="0.30000000000000004" footer="0.30000000000000004"/>
  <pageSetup paperSize="0" fitToWidth="0" fitToHeight="0" orientation="portrait" horizontalDpi="0" verticalDpi="0" copies="0"/>
  <headerFooter>
    <oddFooter>&amp;C&amp;1#&amp;"Calibri,Regular"&amp;10OFFICIAL</oddFooter>
  </headerFooter>
  <drawing r:id="rId1"/>
  <tableParts count="1">
    <tablePart r:id="rId2"/>
  </tableParts>
</worksheet>
</file>

<file path=xl/worksheets/sheet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3"/>
  <sheetViews>
    <sheetView workbookViewId="0"/>
  </sheetViews>
  <sheetFormatPr baseColWidth="10" defaultColWidth="22.6640625" defaultRowHeight="13" x14ac:dyDescent="0.15"/>
  <cols>
    <col min="1" max="1" width="17.83203125" customWidth="1"/>
    <col min="2" max="2" width="21.83203125" customWidth="1"/>
    <col min="3" max="5" width="17.83203125" customWidth="1"/>
    <col min="6" max="6" width="20.1640625" customWidth="1"/>
    <col min="7" max="8" width="17.83203125" customWidth="1"/>
    <col min="9" max="9" width="22.6640625" customWidth="1"/>
  </cols>
  <sheetData>
    <row r="1" spans="1:8" s="2" customFormat="1" ht="23" x14ac:dyDescent="0.25">
      <c r="A1" s="90" t="s">
        <v>182</v>
      </c>
      <c r="B1" s="1"/>
    </row>
    <row r="2" spans="1:8" ht="18" x14ac:dyDescent="0.2">
      <c r="A2" s="20" t="s">
        <v>183</v>
      </c>
      <c r="B2" s="97"/>
    </row>
    <row r="3" spans="1:8" ht="18" x14ac:dyDescent="0.2">
      <c r="A3" s="20" t="s">
        <v>127</v>
      </c>
      <c r="B3" s="97"/>
    </row>
    <row r="4" spans="1:8" ht="18" x14ac:dyDescent="0.2">
      <c r="A4" s="20" t="s">
        <v>128</v>
      </c>
      <c r="B4" s="97"/>
    </row>
    <row r="5" spans="1:8" ht="16" x14ac:dyDescent="0.2">
      <c r="A5" s="20" t="s">
        <v>129</v>
      </c>
      <c r="B5" s="98"/>
    </row>
    <row r="6" spans="1:8" s="100" customFormat="1" ht="51" x14ac:dyDescent="0.15">
      <c r="A6" s="94" t="s">
        <v>184</v>
      </c>
      <c r="B6" s="99" t="s">
        <v>157</v>
      </c>
      <c r="C6" s="82" t="s">
        <v>158</v>
      </c>
      <c r="D6" s="82" t="s">
        <v>159</v>
      </c>
      <c r="E6" s="82" t="s">
        <v>160</v>
      </c>
      <c r="F6" s="82" t="s">
        <v>140</v>
      </c>
      <c r="G6" s="82" t="s">
        <v>141</v>
      </c>
      <c r="H6" s="82" t="s">
        <v>161</v>
      </c>
    </row>
    <row r="7" spans="1:8" ht="17" x14ac:dyDescent="0.2">
      <c r="A7" s="101" t="s">
        <v>185</v>
      </c>
      <c r="B7" s="81" t="s">
        <v>186</v>
      </c>
      <c r="C7" s="102"/>
      <c r="D7" s="102"/>
      <c r="E7" s="102"/>
      <c r="F7" s="102"/>
      <c r="G7" s="103"/>
      <c r="H7" s="103"/>
    </row>
    <row r="8" spans="1:8" ht="17" x14ac:dyDescent="0.2">
      <c r="A8" s="85" t="s">
        <v>187</v>
      </c>
      <c r="B8" s="81" t="s">
        <v>188</v>
      </c>
      <c r="C8" s="104">
        <v>277145</v>
      </c>
      <c r="D8" s="86">
        <v>87265</v>
      </c>
      <c r="E8" s="86">
        <v>22802</v>
      </c>
      <c r="F8" s="86">
        <v>387211</v>
      </c>
      <c r="G8" s="86">
        <v>407855</v>
      </c>
      <c r="H8" s="86">
        <v>795067</v>
      </c>
    </row>
    <row r="9" spans="1:8" ht="34" x14ac:dyDescent="0.2">
      <c r="A9" s="85" t="s">
        <v>189</v>
      </c>
      <c r="B9" s="81" t="s">
        <v>190</v>
      </c>
      <c r="C9" s="104">
        <v>783183</v>
      </c>
      <c r="D9" s="86">
        <v>274704</v>
      </c>
      <c r="E9" s="86">
        <v>74572</v>
      </c>
      <c r="F9" s="86">
        <v>1132459</v>
      </c>
      <c r="G9" s="86">
        <v>1076652</v>
      </c>
      <c r="H9" s="86">
        <v>2209110</v>
      </c>
    </row>
    <row r="10" spans="1:8" ht="34" x14ac:dyDescent="0.2">
      <c r="A10" s="85" t="s">
        <v>191</v>
      </c>
      <c r="B10" s="81" t="s">
        <v>192</v>
      </c>
      <c r="C10" s="104">
        <v>612220</v>
      </c>
      <c r="D10" s="86">
        <v>214906</v>
      </c>
      <c r="E10" s="86">
        <v>49199</v>
      </c>
      <c r="F10" s="86">
        <v>876325</v>
      </c>
      <c r="G10" s="86">
        <v>798314</v>
      </c>
      <c r="H10" s="86">
        <v>1674638</v>
      </c>
    </row>
    <row r="11" spans="1:8" ht="17" x14ac:dyDescent="0.2">
      <c r="A11" s="85" t="s">
        <v>193</v>
      </c>
      <c r="B11" s="81" t="s">
        <v>194</v>
      </c>
      <c r="C11" s="104">
        <v>553247</v>
      </c>
      <c r="D11" s="86">
        <v>187460</v>
      </c>
      <c r="E11" s="86">
        <v>52624</v>
      </c>
      <c r="F11" s="86">
        <v>793330</v>
      </c>
      <c r="G11" s="86">
        <v>785083</v>
      </c>
      <c r="H11" s="86">
        <v>1578413</v>
      </c>
    </row>
    <row r="12" spans="1:8" ht="17" x14ac:dyDescent="0.2">
      <c r="A12" s="85" t="s">
        <v>195</v>
      </c>
      <c r="B12" s="81" t="s">
        <v>196</v>
      </c>
      <c r="C12" s="104">
        <v>629114</v>
      </c>
      <c r="D12" s="86">
        <v>206474</v>
      </c>
      <c r="E12" s="86">
        <v>52808</v>
      </c>
      <c r="F12" s="86">
        <v>888395</v>
      </c>
      <c r="G12" s="86">
        <v>912319</v>
      </c>
      <c r="H12" s="86">
        <v>1800714</v>
      </c>
    </row>
    <row r="13" spans="1:8" ht="17" x14ac:dyDescent="0.2">
      <c r="A13" s="85" t="s">
        <v>197</v>
      </c>
      <c r="B13" s="81" t="s">
        <v>198</v>
      </c>
      <c r="C13" s="104">
        <v>712019</v>
      </c>
      <c r="D13" s="86">
        <v>314949</v>
      </c>
      <c r="E13" s="86">
        <v>71549</v>
      </c>
      <c r="F13" s="86">
        <v>1098517</v>
      </c>
      <c r="G13" s="86">
        <v>1064638</v>
      </c>
      <c r="H13" s="86">
        <v>2163154</v>
      </c>
    </row>
    <row r="14" spans="1:8" ht="17" x14ac:dyDescent="0.2">
      <c r="A14" s="85" t="s">
        <v>199</v>
      </c>
      <c r="B14" s="81" t="s">
        <v>200</v>
      </c>
      <c r="C14" s="104">
        <v>799052</v>
      </c>
      <c r="D14" s="86">
        <v>545183</v>
      </c>
      <c r="E14" s="86">
        <v>134647</v>
      </c>
      <c r="F14" s="86">
        <v>1478883</v>
      </c>
      <c r="G14" s="86">
        <v>1108121</v>
      </c>
      <c r="H14" s="86">
        <v>2587003</v>
      </c>
    </row>
    <row r="15" spans="1:8" ht="17" x14ac:dyDescent="0.2">
      <c r="A15" s="85" t="s">
        <v>201</v>
      </c>
      <c r="B15" s="81" t="s">
        <v>202</v>
      </c>
      <c r="C15" s="104">
        <v>1011011</v>
      </c>
      <c r="D15" s="86">
        <v>540824</v>
      </c>
      <c r="E15" s="86">
        <v>112551</v>
      </c>
      <c r="F15" s="86">
        <v>1664386</v>
      </c>
      <c r="G15" s="86">
        <v>1588222</v>
      </c>
      <c r="H15" s="86">
        <v>3252609</v>
      </c>
    </row>
    <row r="16" spans="1:8" ht="17" x14ac:dyDescent="0.2">
      <c r="A16" s="85" t="s">
        <v>203</v>
      </c>
      <c r="B16" s="81" t="s">
        <v>204</v>
      </c>
      <c r="C16" s="104">
        <v>674597</v>
      </c>
      <c r="D16" s="86">
        <v>293632</v>
      </c>
      <c r="E16" s="86">
        <v>65963</v>
      </c>
      <c r="F16" s="86">
        <v>1034191</v>
      </c>
      <c r="G16" s="86">
        <v>1025091</v>
      </c>
      <c r="H16" s="86">
        <v>2059282</v>
      </c>
    </row>
    <row r="17" spans="1:8" ht="17" x14ac:dyDescent="0.2">
      <c r="A17" s="101" t="s">
        <v>185</v>
      </c>
      <c r="B17" s="81" t="s">
        <v>66</v>
      </c>
      <c r="C17" s="104">
        <v>6051588</v>
      </c>
      <c r="D17" s="86">
        <v>2665396</v>
      </c>
      <c r="E17" s="86">
        <v>636714</v>
      </c>
      <c r="F17" s="86">
        <v>9353698</v>
      </c>
      <c r="G17" s="86">
        <v>8766294</v>
      </c>
      <c r="H17" s="86">
        <v>18119992</v>
      </c>
    </row>
    <row r="18" spans="1:8" ht="17" x14ac:dyDescent="0.2">
      <c r="A18" s="85" t="s">
        <v>205</v>
      </c>
      <c r="B18" s="81" t="s">
        <v>206</v>
      </c>
      <c r="C18" s="104">
        <v>383761</v>
      </c>
      <c r="D18" s="86">
        <v>107387</v>
      </c>
      <c r="E18" s="86">
        <v>31165</v>
      </c>
      <c r="F18" s="86">
        <v>522312</v>
      </c>
      <c r="G18" s="86">
        <v>484408</v>
      </c>
      <c r="H18" s="86">
        <v>1006720</v>
      </c>
    </row>
    <row r="19" spans="1:8" ht="17" x14ac:dyDescent="0.2">
      <c r="A19" s="85" t="s">
        <v>207</v>
      </c>
      <c r="B19" s="81" t="s">
        <v>208</v>
      </c>
      <c r="C19" s="104">
        <v>508909</v>
      </c>
      <c r="D19" s="86">
        <v>228040</v>
      </c>
      <c r="E19" s="86">
        <v>56072</v>
      </c>
      <c r="F19" s="86">
        <v>793021</v>
      </c>
      <c r="G19" s="86">
        <v>790842</v>
      </c>
      <c r="H19" s="86">
        <v>1583863</v>
      </c>
    </row>
    <row r="20" spans="1:8" ht="17" x14ac:dyDescent="0.2">
      <c r="A20" s="85" t="s">
        <v>209</v>
      </c>
      <c r="B20" s="81" t="s">
        <v>210</v>
      </c>
      <c r="C20" s="104">
        <v>158885</v>
      </c>
      <c r="D20" s="86">
        <v>54528</v>
      </c>
      <c r="E20" s="86">
        <v>13500</v>
      </c>
      <c r="F20" s="86">
        <v>226913</v>
      </c>
      <c r="G20" s="86">
        <v>210102</v>
      </c>
      <c r="H20" s="86">
        <v>437015</v>
      </c>
    </row>
    <row r="21" spans="1:8" ht="34" x14ac:dyDescent="0.2">
      <c r="A21" s="101" t="s">
        <v>185</v>
      </c>
      <c r="B21" s="81" t="s">
        <v>211</v>
      </c>
      <c r="C21" s="104">
        <v>18231</v>
      </c>
      <c r="D21" s="86">
        <v>13716</v>
      </c>
      <c r="E21" s="86">
        <v>1831</v>
      </c>
      <c r="F21" s="86">
        <v>33779</v>
      </c>
      <c r="G21" s="86">
        <v>117382</v>
      </c>
      <c r="H21" s="86">
        <v>151160</v>
      </c>
    </row>
    <row r="22" spans="1:8" ht="17" x14ac:dyDescent="0.2">
      <c r="A22" s="85" t="s">
        <v>212</v>
      </c>
      <c r="B22" s="81" t="s">
        <v>213</v>
      </c>
      <c r="C22" s="104">
        <v>7121374</v>
      </c>
      <c r="D22" s="86">
        <v>3069066</v>
      </c>
      <c r="E22" s="86">
        <v>739282</v>
      </c>
      <c r="F22" s="86">
        <v>10929722</v>
      </c>
      <c r="G22" s="86">
        <v>10369028</v>
      </c>
      <c r="H22" s="86">
        <v>21298750</v>
      </c>
    </row>
    <row r="23" spans="1:8" ht="16" x14ac:dyDescent="0.2">
      <c r="A23" s="20" t="s">
        <v>16</v>
      </c>
      <c r="B23" s="105"/>
      <c r="C23" s="105"/>
      <c r="D23" s="84"/>
      <c r="E23" s="84"/>
      <c r="F23" s="84"/>
      <c r="G23" s="84"/>
    </row>
  </sheetData>
  <pageMargins left="0.70000000000000007" right="0.70000000000000007" top="0.75" bottom="0.75" header="0.30000000000000004" footer="0.30000000000000004"/>
  <pageSetup paperSize="0" fitToWidth="0" fitToHeight="0" orientation="portrait" horizontalDpi="0" verticalDpi="0" copies="0"/>
  <headerFooter>
    <oddFooter>&amp;C&amp;1#&amp;"Calibri,Regular"&amp;10OFFICIAL</oddFooter>
  </headerFooter>
  <tableParts count="1">
    <tablePart r:id="rId1"/>
  </tableParts>
</worksheet>
</file>

<file path=xl/worksheets/sheet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45"/>
  <sheetViews>
    <sheetView tabSelected="1" workbookViewId="0">
      <selection activeCell="H19" sqref="H19"/>
    </sheetView>
  </sheetViews>
  <sheetFormatPr baseColWidth="10" defaultColWidth="22.6640625" defaultRowHeight="13" x14ac:dyDescent="0.15"/>
  <cols>
    <col min="1" max="1" width="40.5" customWidth="1"/>
    <col min="2" max="11" width="22.5" customWidth="1"/>
    <col min="12" max="12" width="22.6640625" customWidth="1"/>
  </cols>
  <sheetData>
    <row r="1" spans="1:11" s="2" customFormat="1" ht="23" x14ac:dyDescent="0.25">
      <c r="A1" s="90" t="s">
        <v>214</v>
      </c>
      <c r="B1" s="106"/>
    </row>
    <row r="2" spans="1:11" ht="18" x14ac:dyDescent="0.2">
      <c r="A2" s="107" t="s">
        <v>215</v>
      </c>
      <c r="B2" s="97"/>
    </row>
    <row r="3" spans="1:11" ht="18" x14ac:dyDescent="0.2">
      <c r="A3" s="20" t="s">
        <v>127</v>
      </c>
      <c r="B3" s="97"/>
    </row>
    <row r="4" spans="1:11" ht="18" x14ac:dyDescent="0.2">
      <c r="A4" s="20" t="s">
        <v>128</v>
      </c>
      <c r="B4" s="97"/>
    </row>
    <row r="5" spans="1:11" s="84" customFormat="1" ht="34" x14ac:dyDescent="0.2">
      <c r="A5" s="81" t="s">
        <v>216</v>
      </c>
      <c r="B5" s="82" t="s">
        <v>131</v>
      </c>
      <c r="C5" s="82" t="s">
        <v>132</v>
      </c>
      <c r="D5" s="82" t="s">
        <v>217</v>
      </c>
      <c r="E5" s="82" t="s">
        <v>218</v>
      </c>
      <c r="F5" s="82" t="s">
        <v>219</v>
      </c>
      <c r="G5" s="82" t="s">
        <v>220</v>
      </c>
      <c r="H5" s="82" t="s">
        <v>221</v>
      </c>
      <c r="I5" s="82" t="s">
        <v>222</v>
      </c>
      <c r="J5" s="82" t="s">
        <v>223</v>
      </c>
      <c r="K5" s="82" t="s">
        <v>224</v>
      </c>
    </row>
    <row r="6" spans="1:11" s="84" customFormat="1" ht="16" x14ac:dyDescent="0.2">
      <c r="A6" s="85" t="s">
        <v>143</v>
      </c>
      <c r="B6" s="86">
        <v>668220</v>
      </c>
      <c r="C6" s="86">
        <v>89144</v>
      </c>
      <c r="D6" s="86">
        <v>119580</v>
      </c>
      <c r="E6" s="86">
        <v>69032</v>
      </c>
      <c r="F6" s="86">
        <v>43606</v>
      </c>
      <c r="G6" s="86">
        <v>55175</v>
      </c>
      <c r="H6" s="86">
        <v>91813</v>
      </c>
      <c r="I6" s="86">
        <v>122817</v>
      </c>
      <c r="J6" s="86">
        <v>1259387</v>
      </c>
      <c r="K6" s="103">
        <v>18059</v>
      </c>
    </row>
    <row r="7" spans="1:11" s="84" customFormat="1" ht="16" x14ac:dyDescent="0.2">
      <c r="A7" s="85" t="s">
        <v>144</v>
      </c>
      <c r="B7" s="86">
        <v>754303</v>
      </c>
      <c r="C7" s="86">
        <v>116083</v>
      </c>
      <c r="D7" s="86">
        <v>153887</v>
      </c>
      <c r="E7" s="86">
        <v>101202</v>
      </c>
      <c r="F7" s="86">
        <v>68818</v>
      </c>
      <c r="G7" s="86">
        <v>91032</v>
      </c>
      <c r="H7" s="86">
        <v>164215</v>
      </c>
      <c r="I7" s="86">
        <v>233514</v>
      </c>
      <c r="J7" s="86">
        <v>1683052</v>
      </c>
      <c r="K7" s="103">
        <v>24285</v>
      </c>
    </row>
    <row r="8" spans="1:11" s="84" customFormat="1" ht="16" x14ac:dyDescent="0.2">
      <c r="A8" s="85" t="s">
        <v>145</v>
      </c>
      <c r="B8" s="86">
        <v>1975743</v>
      </c>
      <c r="C8" s="86">
        <v>322815</v>
      </c>
      <c r="D8" s="86">
        <v>500151</v>
      </c>
      <c r="E8" s="86">
        <v>345836</v>
      </c>
      <c r="F8" s="86">
        <v>267117</v>
      </c>
      <c r="G8" s="86">
        <v>342439</v>
      </c>
      <c r="H8" s="86">
        <v>669541</v>
      </c>
      <c r="I8" s="86">
        <v>1023380</v>
      </c>
      <c r="J8" s="86">
        <v>5447021</v>
      </c>
      <c r="K8" s="103">
        <v>31563</v>
      </c>
    </row>
    <row r="9" spans="1:11" s="84" customFormat="1" ht="16" x14ac:dyDescent="0.2">
      <c r="A9" s="85" t="s">
        <v>146</v>
      </c>
      <c r="B9" s="86">
        <v>1820376</v>
      </c>
      <c r="C9" s="86">
        <v>276015</v>
      </c>
      <c r="D9" s="86">
        <v>415979</v>
      </c>
      <c r="E9" s="86">
        <v>272880</v>
      </c>
      <c r="F9" s="86">
        <v>203942</v>
      </c>
      <c r="G9" s="86">
        <v>257055</v>
      </c>
      <c r="H9" s="86">
        <v>458449</v>
      </c>
      <c r="I9" s="86">
        <v>814466</v>
      </c>
      <c r="J9" s="86">
        <v>4519161</v>
      </c>
      <c r="K9" s="103">
        <v>31536</v>
      </c>
    </row>
    <row r="10" spans="1:11" s="84" customFormat="1" ht="16" x14ac:dyDescent="0.2">
      <c r="A10" s="85" t="s">
        <v>147</v>
      </c>
      <c r="B10" s="86">
        <v>1947196</v>
      </c>
      <c r="C10" s="86">
        <v>286729</v>
      </c>
      <c r="D10" s="86">
        <v>426636</v>
      </c>
      <c r="E10" s="86">
        <v>296945</v>
      </c>
      <c r="F10" s="86">
        <v>222646</v>
      </c>
      <c r="G10" s="86">
        <v>275379</v>
      </c>
      <c r="H10" s="86">
        <v>469221</v>
      </c>
      <c r="I10" s="86">
        <v>868215</v>
      </c>
      <c r="J10" s="86">
        <v>4792967</v>
      </c>
      <c r="K10" s="103">
        <v>34103</v>
      </c>
    </row>
    <row r="11" spans="1:11" s="84" customFormat="1" ht="16" x14ac:dyDescent="0.2">
      <c r="A11" s="85" t="s">
        <v>148</v>
      </c>
      <c r="B11" s="86">
        <v>919694</v>
      </c>
      <c r="C11" s="86">
        <v>156346</v>
      </c>
      <c r="D11" s="86">
        <v>228589</v>
      </c>
      <c r="E11" s="86">
        <v>164239</v>
      </c>
      <c r="F11" s="86">
        <v>138152</v>
      </c>
      <c r="G11" s="86">
        <v>192606</v>
      </c>
      <c r="H11" s="86">
        <v>322574</v>
      </c>
      <c r="I11" s="86">
        <v>588801</v>
      </c>
      <c r="J11" s="86">
        <v>2711000</v>
      </c>
      <c r="K11" s="103">
        <v>42747</v>
      </c>
    </row>
    <row r="12" spans="1:11" s="84" customFormat="1" ht="16" x14ac:dyDescent="0.2">
      <c r="A12" s="85" t="s">
        <v>149</v>
      </c>
      <c r="B12" s="86">
        <v>115513</v>
      </c>
      <c r="C12" s="86">
        <v>20262</v>
      </c>
      <c r="D12" s="86">
        <v>31675</v>
      </c>
      <c r="E12" s="86">
        <v>25290</v>
      </c>
      <c r="F12" s="86">
        <v>26382</v>
      </c>
      <c r="G12" s="86">
        <v>36479</v>
      </c>
      <c r="H12" s="86">
        <v>68935</v>
      </c>
      <c r="I12" s="86">
        <v>147303</v>
      </c>
      <c r="J12" s="86">
        <v>471837</v>
      </c>
      <c r="K12" s="103">
        <v>60160</v>
      </c>
    </row>
    <row r="13" spans="1:11" s="84" customFormat="1" ht="16" x14ac:dyDescent="0.2">
      <c r="A13" s="85" t="s">
        <v>150</v>
      </c>
      <c r="B13" s="86">
        <v>63843</v>
      </c>
      <c r="C13" s="86">
        <v>10245</v>
      </c>
      <c r="D13" s="86">
        <v>16686</v>
      </c>
      <c r="E13" s="86">
        <v>15049</v>
      </c>
      <c r="F13" s="86">
        <v>18095</v>
      </c>
      <c r="G13" s="86">
        <v>30446</v>
      </c>
      <c r="H13" s="86">
        <v>59779</v>
      </c>
      <c r="I13" s="86">
        <v>200181</v>
      </c>
      <c r="J13" s="86">
        <v>414323</v>
      </c>
      <c r="K13" s="103">
        <v>94894</v>
      </c>
    </row>
    <row r="14" spans="1:11" s="84" customFormat="1" ht="16" x14ac:dyDescent="0.2">
      <c r="A14" s="85" t="s">
        <v>151</v>
      </c>
      <c r="B14" s="86">
        <v>8264889</v>
      </c>
      <c r="C14" s="86">
        <v>1277637</v>
      </c>
      <c r="D14" s="86">
        <v>1893182</v>
      </c>
      <c r="E14" s="86">
        <v>1290473</v>
      </c>
      <c r="F14" s="86">
        <v>988756</v>
      </c>
      <c r="G14" s="86">
        <v>1280611</v>
      </c>
      <c r="H14" s="86">
        <v>2304525</v>
      </c>
      <c r="I14" s="86">
        <v>3998677</v>
      </c>
      <c r="J14" s="86">
        <v>21298750</v>
      </c>
      <c r="K14" s="103">
        <v>34044</v>
      </c>
    </row>
    <row r="15" spans="1:11" s="84" customFormat="1" ht="34" x14ac:dyDescent="0.2">
      <c r="A15" s="81" t="s">
        <v>225</v>
      </c>
      <c r="B15" s="82" t="s">
        <v>131</v>
      </c>
      <c r="C15" s="82" t="s">
        <v>132</v>
      </c>
      <c r="D15" s="82" t="s">
        <v>217</v>
      </c>
      <c r="E15" s="82" t="s">
        <v>218</v>
      </c>
      <c r="F15" s="82" t="s">
        <v>219</v>
      </c>
      <c r="G15" s="82" t="s">
        <v>220</v>
      </c>
      <c r="H15" s="82" t="s">
        <v>221</v>
      </c>
      <c r="I15" s="82" t="s">
        <v>222</v>
      </c>
      <c r="J15" s="82" t="s">
        <v>223</v>
      </c>
      <c r="K15" s="82" t="s">
        <v>224</v>
      </c>
    </row>
    <row r="16" spans="1:11" s="84" customFormat="1" ht="16" x14ac:dyDescent="0.2">
      <c r="A16" s="85" t="s">
        <v>143</v>
      </c>
      <c r="B16" s="86">
        <v>552621</v>
      </c>
      <c r="C16" s="86">
        <v>60430</v>
      </c>
      <c r="D16" s="86">
        <v>77873</v>
      </c>
      <c r="E16" s="86">
        <v>41334</v>
      </c>
      <c r="F16" s="86">
        <v>21142</v>
      </c>
      <c r="G16" s="86">
        <v>33941</v>
      </c>
      <c r="H16" s="86">
        <v>39156</v>
      </c>
      <c r="I16" s="86">
        <v>30175</v>
      </c>
      <c r="J16" s="86">
        <v>856671</v>
      </c>
      <c r="K16" s="103">
        <v>7548</v>
      </c>
    </row>
    <row r="17" spans="1:11" s="84" customFormat="1" ht="16" x14ac:dyDescent="0.2">
      <c r="A17" s="85" t="s">
        <v>144</v>
      </c>
      <c r="B17" s="86">
        <v>642752</v>
      </c>
      <c r="C17" s="86">
        <v>87701</v>
      </c>
      <c r="D17" s="86">
        <v>114314</v>
      </c>
      <c r="E17" s="86">
        <v>70061</v>
      </c>
      <c r="F17" s="86">
        <v>41057</v>
      </c>
      <c r="G17" s="86">
        <v>64899</v>
      </c>
      <c r="H17" s="86">
        <v>87364</v>
      </c>
      <c r="I17" s="86">
        <v>72311</v>
      </c>
      <c r="J17" s="86">
        <v>1180459</v>
      </c>
      <c r="K17" s="103">
        <v>11675</v>
      </c>
    </row>
    <row r="18" spans="1:11" s="84" customFormat="1" ht="16" x14ac:dyDescent="0.2">
      <c r="A18" s="85" t="s">
        <v>145</v>
      </c>
      <c r="B18" s="86">
        <v>1701105</v>
      </c>
      <c r="C18" s="86">
        <v>244456</v>
      </c>
      <c r="D18" s="86">
        <v>371948</v>
      </c>
      <c r="E18" s="86">
        <v>248836</v>
      </c>
      <c r="F18" s="86">
        <v>171444</v>
      </c>
      <c r="G18" s="86">
        <v>254174</v>
      </c>
      <c r="H18" s="86">
        <v>383221</v>
      </c>
      <c r="I18" s="86">
        <v>365727</v>
      </c>
      <c r="J18" s="86">
        <v>3740912</v>
      </c>
      <c r="K18" s="103">
        <v>16667</v>
      </c>
    </row>
    <row r="19" spans="1:11" s="84" customFormat="1" ht="16" x14ac:dyDescent="0.2">
      <c r="A19" s="85" t="s">
        <v>146</v>
      </c>
      <c r="B19" s="86">
        <v>1525780</v>
      </c>
      <c r="C19" s="86">
        <v>198414</v>
      </c>
      <c r="D19" s="86">
        <v>301822</v>
      </c>
      <c r="E19" s="86">
        <v>182711</v>
      </c>
      <c r="F19" s="86">
        <v>129079</v>
      </c>
      <c r="G19" s="86">
        <v>181346</v>
      </c>
      <c r="H19" s="86">
        <v>248915</v>
      </c>
      <c r="I19" s="86">
        <v>266513</v>
      </c>
      <c r="J19" s="86">
        <v>3034579</v>
      </c>
      <c r="K19" s="103">
        <v>15348</v>
      </c>
    </row>
    <row r="20" spans="1:11" s="84" customFormat="1" ht="16" x14ac:dyDescent="0.2">
      <c r="A20" s="85" t="s">
        <v>147</v>
      </c>
      <c r="B20" s="86">
        <v>1555859</v>
      </c>
      <c r="C20" s="86">
        <v>182705</v>
      </c>
      <c r="D20" s="86">
        <v>278155</v>
      </c>
      <c r="E20" s="86">
        <v>180466</v>
      </c>
      <c r="F20" s="86">
        <v>114287</v>
      </c>
      <c r="G20" s="86">
        <v>181100</v>
      </c>
      <c r="H20" s="86">
        <v>215226</v>
      </c>
      <c r="I20" s="86">
        <v>232444</v>
      </c>
      <c r="J20" s="86">
        <v>2940243</v>
      </c>
      <c r="K20" s="103">
        <v>14293</v>
      </c>
    </row>
    <row r="21" spans="1:11" s="84" customFormat="1" ht="16" x14ac:dyDescent="0.2">
      <c r="A21" s="85" t="s">
        <v>148</v>
      </c>
      <c r="B21" s="86">
        <v>663912</v>
      </c>
      <c r="C21" s="86">
        <v>78422</v>
      </c>
      <c r="D21" s="86">
        <v>114850</v>
      </c>
      <c r="E21" s="86">
        <v>78662</v>
      </c>
      <c r="F21" s="86">
        <v>58370</v>
      </c>
      <c r="G21" s="86">
        <v>114287</v>
      </c>
      <c r="H21" s="86">
        <v>114964</v>
      </c>
      <c r="I21" s="86">
        <v>119517</v>
      </c>
      <c r="J21" s="86">
        <v>1342984</v>
      </c>
      <c r="K21" s="103">
        <v>16292</v>
      </c>
    </row>
    <row r="22" spans="1:11" s="84" customFormat="1" ht="16" x14ac:dyDescent="0.2">
      <c r="A22" s="85" t="s">
        <v>149</v>
      </c>
      <c r="B22" s="86">
        <v>75406</v>
      </c>
      <c r="C22" s="86">
        <v>7509</v>
      </c>
      <c r="D22" s="86">
        <v>11559</v>
      </c>
      <c r="E22" s="86">
        <v>9802</v>
      </c>
      <c r="F22" s="86">
        <v>7040</v>
      </c>
      <c r="G22" s="86">
        <v>18437</v>
      </c>
      <c r="H22" s="86">
        <v>17060</v>
      </c>
      <c r="I22" s="86">
        <v>22352</v>
      </c>
      <c r="J22" s="86">
        <v>169166</v>
      </c>
      <c r="K22" s="103">
        <v>21930</v>
      </c>
    </row>
    <row r="23" spans="1:11" s="84" customFormat="1" ht="16" x14ac:dyDescent="0.2">
      <c r="A23" s="85" t="s">
        <v>150</v>
      </c>
      <c r="B23" s="86">
        <v>39775</v>
      </c>
      <c r="C23" s="86">
        <v>3319</v>
      </c>
      <c r="D23" s="86">
        <v>5145</v>
      </c>
      <c r="E23" s="86">
        <v>4745</v>
      </c>
      <c r="F23" s="86">
        <v>3935</v>
      </c>
      <c r="G23" s="86">
        <v>14080</v>
      </c>
      <c r="H23" s="86">
        <v>11145</v>
      </c>
      <c r="I23" s="86">
        <v>17886</v>
      </c>
      <c r="J23" s="86">
        <v>100030</v>
      </c>
      <c r="K23" s="103">
        <v>29938</v>
      </c>
    </row>
    <row r="24" spans="1:11" s="84" customFormat="1" ht="16" x14ac:dyDescent="0.2">
      <c r="A24" s="85" t="s">
        <v>151</v>
      </c>
      <c r="B24" s="86">
        <v>6757210</v>
      </c>
      <c r="C24" s="86">
        <v>862957</v>
      </c>
      <c r="D24" s="86">
        <v>1275667</v>
      </c>
      <c r="E24" s="86">
        <v>816617</v>
      </c>
      <c r="F24" s="86">
        <v>546354</v>
      </c>
      <c r="G24" s="86">
        <v>862263</v>
      </c>
      <c r="H24" s="86">
        <v>1117051</v>
      </c>
      <c r="I24" s="86">
        <v>1126924</v>
      </c>
      <c r="J24" s="86">
        <v>13365044</v>
      </c>
      <c r="K24" s="103">
        <v>14948</v>
      </c>
    </row>
    <row r="25" spans="1:11" s="84" customFormat="1" ht="34" x14ac:dyDescent="0.2">
      <c r="A25" s="81" t="s">
        <v>226</v>
      </c>
      <c r="B25" s="82" t="s">
        <v>131</v>
      </c>
      <c r="C25" s="82" t="s">
        <v>132</v>
      </c>
      <c r="D25" s="82" t="s">
        <v>217</v>
      </c>
      <c r="E25" s="82" t="s">
        <v>218</v>
      </c>
      <c r="F25" s="82" t="s">
        <v>219</v>
      </c>
      <c r="G25" s="82" t="s">
        <v>220</v>
      </c>
      <c r="H25" s="82" t="s">
        <v>221</v>
      </c>
      <c r="I25" s="82" t="s">
        <v>222</v>
      </c>
      <c r="J25" s="82" t="s">
        <v>223</v>
      </c>
      <c r="K25" s="108" t="s">
        <v>224</v>
      </c>
    </row>
    <row r="26" spans="1:11" s="84" customFormat="1" ht="16" x14ac:dyDescent="0.2">
      <c r="A26" s="85" t="s">
        <v>143</v>
      </c>
      <c r="B26" s="86">
        <v>90283</v>
      </c>
      <c r="C26" s="86">
        <v>20857</v>
      </c>
      <c r="D26" s="86">
        <v>28700</v>
      </c>
      <c r="E26" s="86">
        <v>17710</v>
      </c>
      <c r="F26" s="86">
        <v>13745</v>
      </c>
      <c r="G26" s="86">
        <v>12892</v>
      </c>
      <c r="H26" s="86">
        <v>31148</v>
      </c>
      <c r="I26" s="86">
        <v>52078</v>
      </c>
      <c r="J26" s="86">
        <v>267413</v>
      </c>
      <c r="K26" s="103">
        <v>35341</v>
      </c>
    </row>
    <row r="27" spans="1:11" s="84" customFormat="1" ht="16" x14ac:dyDescent="0.2">
      <c r="A27" s="85" t="s">
        <v>144</v>
      </c>
      <c r="B27" s="86">
        <v>87101</v>
      </c>
      <c r="C27" s="86">
        <v>18002</v>
      </c>
      <c r="D27" s="86">
        <v>24471</v>
      </c>
      <c r="E27" s="86">
        <v>18570</v>
      </c>
      <c r="F27" s="86">
        <v>16518</v>
      </c>
      <c r="G27" s="86">
        <v>14017</v>
      </c>
      <c r="H27" s="86">
        <v>34712</v>
      </c>
      <c r="I27" s="86">
        <v>75795</v>
      </c>
      <c r="J27" s="86">
        <v>289187</v>
      </c>
      <c r="K27" s="103">
        <v>45273</v>
      </c>
    </row>
    <row r="28" spans="1:11" s="84" customFormat="1" ht="16" x14ac:dyDescent="0.2">
      <c r="A28" s="85" t="s">
        <v>145</v>
      </c>
      <c r="B28" s="86">
        <v>205225</v>
      </c>
      <c r="C28" s="86">
        <v>54179</v>
      </c>
      <c r="D28" s="86">
        <v>81194</v>
      </c>
      <c r="E28" s="86">
        <v>55778</v>
      </c>
      <c r="F28" s="86">
        <v>53887</v>
      </c>
      <c r="G28" s="86">
        <v>46820</v>
      </c>
      <c r="H28" s="86">
        <v>126684</v>
      </c>
      <c r="I28" s="86">
        <v>276728</v>
      </c>
      <c r="J28" s="86">
        <v>900496</v>
      </c>
      <c r="K28" s="103">
        <v>55175</v>
      </c>
    </row>
    <row r="29" spans="1:11" s="84" customFormat="1" ht="16" x14ac:dyDescent="0.2">
      <c r="A29" s="85" t="s">
        <v>146</v>
      </c>
      <c r="B29" s="86">
        <v>210407</v>
      </c>
      <c r="C29" s="86">
        <v>50002</v>
      </c>
      <c r="D29" s="86">
        <v>69067</v>
      </c>
      <c r="E29" s="86">
        <v>47775</v>
      </c>
      <c r="F29" s="86">
        <v>39205</v>
      </c>
      <c r="G29" s="86">
        <v>38326</v>
      </c>
      <c r="H29" s="86">
        <v>91096</v>
      </c>
      <c r="I29" s="86">
        <v>215775</v>
      </c>
      <c r="J29" s="86">
        <v>761655</v>
      </c>
      <c r="K29" s="103">
        <v>53679</v>
      </c>
    </row>
    <row r="30" spans="1:11" s="84" customFormat="1" ht="16" x14ac:dyDescent="0.2">
      <c r="A30" s="85" t="s">
        <v>147</v>
      </c>
      <c r="B30" s="86">
        <v>274497</v>
      </c>
      <c r="C30" s="86">
        <v>65450</v>
      </c>
      <c r="D30" s="86">
        <v>83061</v>
      </c>
      <c r="E30" s="86">
        <v>64275</v>
      </c>
      <c r="F30" s="86">
        <v>60137</v>
      </c>
      <c r="G30" s="86">
        <v>44370</v>
      </c>
      <c r="H30" s="86">
        <v>116454</v>
      </c>
      <c r="I30" s="86">
        <v>270805</v>
      </c>
      <c r="J30" s="86">
        <v>979052</v>
      </c>
      <c r="K30" s="103">
        <v>57442</v>
      </c>
    </row>
    <row r="31" spans="1:11" s="84" customFormat="1" ht="16" x14ac:dyDescent="0.2">
      <c r="A31" s="85" t="s">
        <v>148</v>
      </c>
      <c r="B31" s="86">
        <v>180977</v>
      </c>
      <c r="C31" s="86">
        <v>50344</v>
      </c>
      <c r="D31" s="86">
        <v>69603</v>
      </c>
      <c r="E31" s="86">
        <v>48978</v>
      </c>
      <c r="F31" s="86">
        <v>48146</v>
      </c>
      <c r="G31" s="86">
        <v>42919</v>
      </c>
      <c r="H31" s="86">
        <v>105067</v>
      </c>
      <c r="I31" s="86">
        <v>230083</v>
      </c>
      <c r="J31" s="86">
        <v>776117</v>
      </c>
      <c r="K31" s="103">
        <v>64181</v>
      </c>
    </row>
    <row r="32" spans="1:11" s="84" customFormat="1" ht="16" x14ac:dyDescent="0.2">
      <c r="A32" s="85" t="s">
        <v>149</v>
      </c>
      <c r="B32" s="86">
        <v>29878</v>
      </c>
      <c r="C32" s="86">
        <v>8549</v>
      </c>
      <c r="D32" s="86">
        <v>13113</v>
      </c>
      <c r="E32" s="86">
        <v>9329</v>
      </c>
      <c r="F32" s="86">
        <v>12232</v>
      </c>
      <c r="G32" s="86">
        <v>9999</v>
      </c>
      <c r="H32" s="86">
        <v>28209</v>
      </c>
      <c r="I32" s="86">
        <v>68109</v>
      </c>
      <c r="J32" s="86">
        <v>179418</v>
      </c>
      <c r="K32" s="103">
        <v>82007</v>
      </c>
    </row>
    <row r="33" spans="1:11" s="84" customFormat="1" ht="16" x14ac:dyDescent="0.2">
      <c r="A33" s="85" t="s">
        <v>150</v>
      </c>
      <c r="B33" s="86">
        <v>18792</v>
      </c>
      <c r="C33" s="86">
        <v>4762</v>
      </c>
      <c r="D33" s="86">
        <v>7469</v>
      </c>
      <c r="E33" s="86">
        <v>6728</v>
      </c>
      <c r="F33" s="86">
        <v>9985</v>
      </c>
      <c r="G33" s="86">
        <v>10385</v>
      </c>
      <c r="H33" s="86">
        <v>29839</v>
      </c>
      <c r="I33" s="86">
        <v>115677</v>
      </c>
      <c r="J33" s="86">
        <v>203636</v>
      </c>
      <c r="K33" s="103">
        <v>122211</v>
      </c>
    </row>
    <row r="34" spans="1:11" s="84" customFormat="1" ht="16" x14ac:dyDescent="0.2">
      <c r="A34" s="85" t="s">
        <v>151</v>
      </c>
      <c r="B34" s="86">
        <v>1097160</v>
      </c>
      <c r="C34" s="86">
        <v>272144</v>
      </c>
      <c r="D34" s="86">
        <v>376679</v>
      </c>
      <c r="E34" s="86">
        <v>269142</v>
      </c>
      <c r="F34" s="86">
        <v>253857</v>
      </c>
      <c r="G34" s="86">
        <v>219730</v>
      </c>
      <c r="H34" s="86">
        <v>563209</v>
      </c>
      <c r="I34" s="86">
        <v>1305050</v>
      </c>
      <c r="J34" s="86">
        <v>4356973</v>
      </c>
      <c r="K34" s="103">
        <v>59391</v>
      </c>
    </row>
    <row r="35" spans="1:11" s="84" customFormat="1" ht="34" x14ac:dyDescent="0.2">
      <c r="A35" s="81" t="s">
        <v>227</v>
      </c>
      <c r="B35" s="82" t="s">
        <v>131</v>
      </c>
      <c r="C35" s="82" t="s">
        <v>132</v>
      </c>
      <c r="D35" s="82" t="s">
        <v>217</v>
      </c>
      <c r="E35" s="82" t="s">
        <v>218</v>
      </c>
      <c r="F35" s="82" t="s">
        <v>219</v>
      </c>
      <c r="G35" s="82" t="s">
        <v>220</v>
      </c>
      <c r="H35" s="82" t="s">
        <v>221</v>
      </c>
      <c r="I35" s="82" t="s">
        <v>222</v>
      </c>
      <c r="J35" s="82" t="s">
        <v>223</v>
      </c>
      <c r="K35" s="82" t="s">
        <v>224</v>
      </c>
    </row>
    <row r="36" spans="1:11" s="84" customFormat="1" ht="16" x14ac:dyDescent="0.2">
      <c r="A36" s="85" t="s">
        <v>143</v>
      </c>
      <c r="B36" s="86">
        <v>25316</v>
      </c>
      <c r="C36" s="86">
        <v>7857</v>
      </c>
      <c r="D36" s="86">
        <v>13008</v>
      </c>
      <c r="E36" s="86">
        <v>9989</v>
      </c>
      <c r="F36" s="86">
        <v>8718</v>
      </c>
      <c r="G36" s="86">
        <v>8342</v>
      </c>
      <c r="H36" s="86">
        <v>21509</v>
      </c>
      <c r="I36" s="86">
        <v>40564</v>
      </c>
      <c r="J36" s="86">
        <v>135303</v>
      </c>
      <c r="K36" s="103">
        <v>50453</v>
      </c>
    </row>
    <row r="37" spans="1:11" s="84" customFormat="1" ht="16" x14ac:dyDescent="0.2">
      <c r="A37" s="85" t="s">
        <v>144</v>
      </c>
      <c r="B37" s="86">
        <v>24450</v>
      </c>
      <c r="C37" s="86">
        <v>10379</v>
      </c>
      <c r="D37" s="86">
        <v>15102</v>
      </c>
      <c r="E37" s="86">
        <v>12571</v>
      </c>
      <c r="F37" s="86">
        <v>11243</v>
      </c>
      <c r="G37" s="86">
        <v>12116</v>
      </c>
      <c r="H37" s="86">
        <v>42138</v>
      </c>
      <c r="I37" s="86">
        <v>85408</v>
      </c>
      <c r="J37" s="86">
        <v>213407</v>
      </c>
      <c r="K37" s="103">
        <v>65595</v>
      </c>
    </row>
    <row r="38" spans="1:11" s="84" customFormat="1" ht="16" x14ac:dyDescent="0.2">
      <c r="A38" s="85" t="s">
        <v>145</v>
      </c>
      <c r="B38" s="86">
        <v>69412</v>
      </c>
      <c r="C38" s="86">
        <v>24180</v>
      </c>
      <c r="D38" s="86">
        <v>47009</v>
      </c>
      <c r="E38" s="86">
        <v>41222</v>
      </c>
      <c r="F38" s="86">
        <v>41786</v>
      </c>
      <c r="G38" s="86">
        <v>41445</v>
      </c>
      <c r="H38" s="86">
        <v>159637</v>
      </c>
      <c r="I38" s="86">
        <v>380925</v>
      </c>
      <c r="J38" s="86">
        <v>805614</v>
      </c>
      <c r="K38" s="103">
        <v>74342</v>
      </c>
    </row>
    <row r="39" spans="1:11" s="84" customFormat="1" ht="16" x14ac:dyDescent="0.2">
      <c r="A39" s="85" t="s">
        <v>146</v>
      </c>
      <c r="B39" s="86">
        <v>84189</v>
      </c>
      <c r="C39" s="86">
        <v>27599</v>
      </c>
      <c r="D39" s="86">
        <v>45090</v>
      </c>
      <c r="E39" s="86">
        <v>42394</v>
      </c>
      <c r="F39" s="86">
        <v>35657</v>
      </c>
      <c r="G39" s="86">
        <v>37383</v>
      </c>
      <c r="H39" s="86">
        <v>118438</v>
      </c>
      <c r="I39" s="86">
        <v>332178</v>
      </c>
      <c r="J39" s="86">
        <v>722928</v>
      </c>
      <c r="K39" s="103">
        <v>76161</v>
      </c>
    </row>
    <row r="40" spans="1:11" s="84" customFormat="1" ht="16" x14ac:dyDescent="0.2">
      <c r="A40" s="85" t="s">
        <v>147</v>
      </c>
      <c r="B40" s="86">
        <v>116840</v>
      </c>
      <c r="C40" s="86">
        <v>38574</v>
      </c>
      <c r="D40" s="86">
        <v>65419</v>
      </c>
      <c r="E40" s="86">
        <v>52204</v>
      </c>
      <c r="F40" s="86">
        <v>48221</v>
      </c>
      <c r="G40" s="86">
        <v>49909</v>
      </c>
      <c r="H40" s="86">
        <v>137540</v>
      </c>
      <c r="I40" s="86">
        <v>364966</v>
      </c>
      <c r="J40" s="86">
        <v>873672</v>
      </c>
      <c r="K40" s="103">
        <v>74617</v>
      </c>
    </row>
    <row r="41" spans="1:11" s="84" customFormat="1" ht="16" x14ac:dyDescent="0.2">
      <c r="A41" s="85" t="s">
        <v>148</v>
      </c>
      <c r="B41" s="86">
        <v>74805</v>
      </c>
      <c r="C41" s="86">
        <v>27580</v>
      </c>
      <c r="D41" s="86">
        <v>44135</v>
      </c>
      <c r="E41" s="86">
        <v>36599</v>
      </c>
      <c r="F41" s="86">
        <v>31635</v>
      </c>
      <c r="G41" s="86">
        <v>35400</v>
      </c>
      <c r="H41" s="86">
        <v>102543</v>
      </c>
      <c r="I41" s="86">
        <v>239201</v>
      </c>
      <c r="J41" s="86">
        <v>591899</v>
      </c>
      <c r="K41" s="103">
        <v>74668</v>
      </c>
    </row>
    <row r="42" spans="1:11" s="84" customFormat="1" ht="16" x14ac:dyDescent="0.2">
      <c r="A42" s="85" t="s">
        <v>149</v>
      </c>
      <c r="B42" s="86">
        <v>10230</v>
      </c>
      <c r="C42" s="86">
        <v>4203</v>
      </c>
      <c r="D42" s="86">
        <v>7002</v>
      </c>
      <c r="E42" s="86">
        <v>6159</v>
      </c>
      <c r="F42" s="86">
        <v>7109</v>
      </c>
      <c r="G42" s="86">
        <v>8042</v>
      </c>
      <c r="H42" s="86">
        <v>23666</v>
      </c>
      <c r="I42" s="86">
        <v>56842</v>
      </c>
      <c r="J42" s="86">
        <v>123254</v>
      </c>
      <c r="K42" s="103">
        <v>80827</v>
      </c>
    </row>
    <row r="43" spans="1:11" s="84" customFormat="1" ht="16" x14ac:dyDescent="0.2">
      <c r="A43" s="85" t="s">
        <v>150</v>
      </c>
      <c r="B43" s="86">
        <v>5276</v>
      </c>
      <c r="C43" s="86">
        <v>2164</v>
      </c>
      <c r="D43" s="86">
        <v>4072</v>
      </c>
      <c r="E43" s="86">
        <v>3576</v>
      </c>
      <c r="F43" s="86">
        <v>4175</v>
      </c>
      <c r="G43" s="86">
        <v>5981</v>
      </c>
      <c r="H43" s="86">
        <v>18795</v>
      </c>
      <c r="I43" s="86">
        <v>66619</v>
      </c>
      <c r="J43" s="86">
        <v>110657</v>
      </c>
      <c r="K43" s="103">
        <v>103342</v>
      </c>
    </row>
    <row r="44" spans="1:11" s="84" customFormat="1" ht="16" x14ac:dyDescent="0.2">
      <c r="A44" s="85" t="s">
        <v>151</v>
      </c>
      <c r="B44" s="86">
        <v>410518</v>
      </c>
      <c r="C44" s="86">
        <v>142536</v>
      </c>
      <c r="D44" s="86">
        <v>240836</v>
      </c>
      <c r="E44" s="86">
        <v>204713</v>
      </c>
      <c r="F44" s="86">
        <v>188545</v>
      </c>
      <c r="G44" s="86">
        <v>198618</v>
      </c>
      <c r="H44" s="86">
        <v>624265</v>
      </c>
      <c r="I44" s="86">
        <v>1566703</v>
      </c>
      <c r="J44" s="86">
        <v>3576734</v>
      </c>
      <c r="K44" s="103">
        <v>74526</v>
      </c>
    </row>
    <row r="45" spans="1:11" ht="16" x14ac:dyDescent="0.2">
      <c r="A45" s="20" t="s">
        <v>16</v>
      </c>
    </row>
  </sheetData>
  <pageMargins left="0.70000000000000007" right="0.70000000000000007" top="0.75" bottom="0.75" header="0.30000000000000004" footer="0.30000000000000004"/>
  <pageSetup paperSize="0" fitToWidth="0" fitToHeight="0" orientation="portrait" horizontalDpi="0" verticalDpi="0" copies="0"/>
  <headerFooter>
    <oddFooter>&amp;C&amp;1#&amp;"Calibri,Regular"&amp;10OFFICIAL</oddFooter>
  </headerFooter>
  <tableParts count="4">
    <tablePart r:id="rId1"/>
    <tablePart r:id="rId2"/>
    <tablePart r:id="rId3"/>
    <tablePart r:id="rId4"/>
  </tableParts>
</worksheet>
</file>

<file path=xl/worksheets/sheet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9"/>
  <sheetViews>
    <sheetView workbookViewId="0"/>
  </sheetViews>
  <sheetFormatPr baseColWidth="10" defaultColWidth="22.6640625" defaultRowHeight="13" x14ac:dyDescent="0.15"/>
  <cols>
    <col min="1" max="1" width="27.5" style="31" customWidth="1"/>
    <col min="2" max="11" width="21.5" customWidth="1"/>
    <col min="12" max="12" width="22.6640625" customWidth="1"/>
  </cols>
  <sheetData>
    <row r="1" spans="1:11" s="2" customFormat="1" ht="23.25" customHeight="1" x14ac:dyDescent="0.25">
      <c r="A1" s="90" t="s">
        <v>228</v>
      </c>
      <c r="B1" s="78"/>
    </row>
    <row r="2" spans="1:11" s="76" customFormat="1" ht="18" customHeight="1" x14ac:dyDescent="0.2">
      <c r="A2" s="20" t="s">
        <v>229</v>
      </c>
      <c r="B2" s="109"/>
    </row>
    <row r="3" spans="1:11" ht="16.5" customHeight="1" x14ac:dyDescent="0.2">
      <c r="A3" s="20" t="s">
        <v>127</v>
      </c>
      <c r="B3" s="97"/>
    </row>
    <row r="4" spans="1:11" ht="16" x14ac:dyDescent="0.2">
      <c r="A4" s="20" t="s">
        <v>128</v>
      </c>
      <c r="B4" s="98"/>
    </row>
    <row r="5" spans="1:11" s="110" customFormat="1" ht="34" x14ac:dyDescent="0.2">
      <c r="A5" s="99" t="s">
        <v>230</v>
      </c>
      <c r="B5" s="82" t="s">
        <v>131</v>
      </c>
      <c r="C5" s="82" t="s">
        <v>132</v>
      </c>
      <c r="D5" s="82" t="s">
        <v>217</v>
      </c>
      <c r="E5" s="82" t="s">
        <v>218</v>
      </c>
      <c r="F5" s="82" t="s">
        <v>219</v>
      </c>
      <c r="G5" s="82" t="s">
        <v>220</v>
      </c>
      <c r="H5" s="82" t="s">
        <v>221</v>
      </c>
      <c r="I5" s="82" t="s">
        <v>222</v>
      </c>
      <c r="J5" s="82" t="s">
        <v>223</v>
      </c>
      <c r="K5" s="82" t="s">
        <v>224</v>
      </c>
    </row>
    <row r="6" spans="1:11" s="84" customFormat="1" ht="16" x14ac:dyDescent="0.2">
      <c r="A6" s="85" t="s">
        <v>162</v>
      </c>
      <c r="B6" s="86">
        <v>400014</v>
      </c>
      <c r="C6" s="86">
        <v>83939</v>
      </c>
      <c r="D6" s="86">
        <v>98956</v>
      </c>
      <c r="E6" s="86">
        <v>50109</v>
      </c>
      <c r="F6" s="86">
        <v>26358</v>
      </c>
      <c r="G6" s="86">
        <v>23144</v>
      </c>
      <c r="H6" s="86">
        <v>28800</v>
      </c>
      <c r="I6" s="86">
        <v>21511</v>
      </c>
      <c r="J6" s="86">
        <v>732830</v>
      </c>
      <c r="K6" s="103">
        <v>8329</v>
      </c>
    </row>
    <row r="7" spans="1:11" s="84" customFormat="1" ht="16" x14ac:dyDescent="0.2">
      <c r="A7" s="85" t="s">
        <v>163</v>
      </c>
      <c r="B7" s="86">
        <v>920874</v>
      </c>
      <c r="C7" s="86">
        <v>124099</v>
      </c>
      <c r="D7" s="86">
        <v>194403</v>
      </c>
      <c r="E7" s="86">
        <v>113607</v>
      </c>
      <c r="F7" s="86">
        <v>72962</v>
      </c>
      <c r="G7" s="86">
        <v>66851</v>
      </c>
      <c r="H7" s="86">
        <v>107473</v>
      </c>
      <c r="I7" s="86">
        <v>84525</v>
      </c>
      <c r="J7" s="86">
        <v>1684796</v>
      </c>
      <c r="K7" s="103">
        <v>11222</v>
      </c>
    </row>
    <row r="8" spans="1:11" s="84" customFormat="1" ht="16" x14ac:dyDescent="0.2">
      <c r="A8" s="85" t="s">
        <v>164</v>
      </c>
      <c r="B8" s="86">
        <v>900596</v>
      </c>
      <c r="C8" s="86">
        <v>101095</v>
      </c>
      <c r="D8" s="86">
        <v>126605</v>
      </c>
      <c r="E8" s="86">
        <v>89760</v>
      </c>
      <c r="F8" s="86">
        <v>60260</v>
      </c>
      <c r="G8" s="86">
        <v>76995</v>
      </c>
      <c r="H8" s="86">
        <v>117097</v>
      </c>
      <c r="I8" s="86">
        <v>136135</v>
      </c>
      <c r="J8" s="86">
        <v>1608544</v>
      </c>
      <c r="K8" s="103">
        <v>15613</v>
      </c>
    </row>
    <row r="9" spans="1:11" s="84" customFormat="1" ht="16" x14ac:dyDescent="0.2">
      <c r="A9" s="85" t="s">
        <v>165</v>
      </c>
      <c r="B9" s="86">
        <v>729000</v>
      </c>
      <c r="C9" s="86">
        <v>87837</v>
      </c>
      <c r="D9" s="86">
        <v>123467</v>
      </c>
      <c r="E9" s="86">
        <v>83865</v>
      </c>
      <c r="F9" s="86">
        <v>69806</v>
      </c>
      <c r="G9" s="86">
        <v>98582</v>
      </c>
      <c r="H9" s="86">
        <v>152035</v>
      </c>
      <c r="I9" s="86">
        <v>245292</v>
      </c>
      <c r="J9" s="86">
        <v>1589885</v>
      </c>
      <c r="K9" s="103">
        <v>27427</v>
      </c>
    </row>
    <row r="10" spans="1:11" s="84" customFormat="1" ht="16" x14ac:dyDescent="0.2">
      <c r="A10" s="85" t="s">
        <v>166</v>
      </c>
      <c r="B10" s="86">
        <v>573718</v>
      </c>
      <c r="C10" s="86">
        <v>81091</v>
      </c>
      <c r="D10" s="86">
        <v>123350</v>
      </c>
      <c r="E10" s="86">
        <v>100096</v>
      </c>
      <c r="F10" s="86">
        <v>90412</v>
      </c>
      <c r="G10" s="86">
        <v>142844</v>
      </c>
      <c r="H10" s="86">
        <v>230953</v>
      </c>
      <c r="I10" s="86">
        <v>441537</v>
      </c>
      <c r="J10" s="86">
        <v>1784002</v>
      </c>
      <c r="K10" s="103">
        <v>44477</v>
      </c>
    </row>
    <row r="11" spans="1:11" s="84" customFormat="1" ht="16" x14ac:dyDescent="0.2">
      <c r="A11" s="85" t="s">
        <v>167</v>
      </c>
      <c r="B11" s="86">
        <v>485821</v>
      </c>
      <c r="C11" s="86">
        <v>110758</v>
      </c>
      <c r="D11" s="86">
        <v>200495</v>
      </c>
      <c r="E11" s="86">
        <v>167949</v>
      </c>
      <c r="F11" s="86">
        <v>159379</v>
      </c>
      <c r="G11" s="86">
        <v>227274</v>
      </c>
      <c r="H11" s="86">
        <v>480922</v>
      </c>
      <c r="I11" s="86">
        <v>1085740</v>
      </c>
      <c r="J11" s="86">
        <v>2918338</v>
      </c>
      <c r="K11" s="103">
        <v>66750</v>
      </c>
    </row>
    <row r="12" spans="1:11" s="84" customFormat="1" ht="16" x14ac:dyDescent="0.2">
      <c r="A12" s="85" t="s">
        <v>168</v>
      </c>
      <c r="B12" s="86">
        <v>4010023</v>
      </c>
      <c r="C12" s="86">
        <v>588820</v>
      </c>
      <c r="D12" s="86">
        <v>867276</v>
      </c>
      <c r="E12" s="86">
        <v>605387</v>
      </c>
      <c r="F12" s="86">
        <v>479176</v>
      </c>
      <c r="G12" s="86">
        <v>635690</v>
      </c>
      <c r="H12" s="86">
        <v>1117281</v>
      </c>
      <c r="I12" s="86">
        <v>2014740</v>
      </c>
      <c r="J12" s="86">
        <v>10318394</v>
      </c>
      <c r="K12" s="103">
        <v>35652</v>
      </c>
    </row>
    <row r="13" spans="1:11" s="84" customFormat="1" ht="16" x14ac:dyDescent="0.2">
      <c r="A13" s="85" t="s">
        <v>169</v>
      </c>
      <c r="B13" s="86">
        <v>419976</v>
      </c>
      <c r="C13" s="86">
        <v>83247</v>
      </c>
      <c r="D13" s="86">
        <v>119203</v>
      </c>
      <c r="E13" s="86">
        <v>51115</v>
      </c>
      <c r="F13" s="86">
        <v>24420</v>
      </c>
      <c r="G13" s="86">
        <v>17992</v>
      </c>
      <c r="H13" s="86">
        <v>29047</v>
      </c>
      <c r="I13" s="86">
        <v>23028</v>
      </c>
      <c r="J13" s="86">
        <v>768027</v>
      </c>
      <c r="K13" s="103">
        <v>8249</v>
      </c>
    </row>
    <row r="14" spans="1:11" s="84" customFormat="1" ht="16" x14ac:dyDescent="0.2">
      <c r="A14" s="85" t="s">
        <v>170</v>
      </c>
      <c r="B14" s="86">
        <v>941965</v>
      </c>
      <c r="C14" s="86">
        <v>141761</v>
      </c>
      <c r="D14" s="86">
        <v>210002</v>
      </c>
      <c r="E14" s="86">
        <v>110973</v>
      </c>
      <c r="F14" s="86">
        <v>67203</v>
      </c>
      <c r="G14" s="86">
        <v>60886</v>
      </c>
      <c r="H14" s="86">
        <v>89006</v>
      </c>
      <c r="I14" s="86">
        <v>65392</v>
      </c>
      <c r="J14" s="86">
        <v>1687188</v>
      </c>
      <c r="K14" s="103">
        <v>9892</v>
      </c>
    </row>
    <row r="15" spans="1:11" s="84" customFormat="1" ht="16" x14ac:dyDescent="0.2">
      <c r="A15" s="85" t="s">
        <v>171</v>
      </c>
      <c r="B15" s="86">
        <v>967178</v>
      </c>
      <c r="C15" s="86">
        <v>120292</v>
      </c>
      <c r="D15" s="86">
        <v>144477</v>
      </c>
      <c r="E15" s="86">
        <v>89412</v>
      </c>
      <c r="F15" s="86">
        <v>63979</v>
      </c>
      <c r="G15" s="86">
        <v>73016</v>
      </c>
      <c r="H15" s="86">
        <v>112284</v>
      </c>
      <c r="I15" s="86">
        <v>112522</v>
      </c>
      <c r="J15" s="86">
        <v>1683162</v>
      </c>
      <c r="K15" s="103">
        <v>12955</v>
      </c>
    </row>
    <row r="16" spans="1:11" s="84" customFormat="1" ht="16" x14ac:dyDescent="0.2">
      <c r="A16" s="85" t="s">
        <v>172</v>
      </c>
      <c r="B16" s="86">
        <v>784565</v>
      </c>
      <c r="C16" s="86">
        <v>110148</v>
      </c>
      <c r="D16" s="86">
        <v>147365</v>
      </c>
      <c r="E16" s="86">
        <v>98970</v>
      </c>
      <c r="F16" s="86">
        <v>78310</v>
      </c>
      <c r="G16" s="86">
        <v>106400</v>
      </c>
      <c r="H16" s="86">
        <v>164239</v>
      </c>
      <c r="I16" s="86">
        <v>221814</v>
      </c>
      <c r="J16" s="86">
        <v>1711811</v>
      </c>
      <c r="K16" s="103">
        <v>23354</v>
      </c>
    </row>
    <row r="17" spans="1:11" s="84" customFormat="1" ht="16" x14ac:dyDescent="0.2">
      <c r="A17" s="85" t="s">
        <v>173</v>
      </c>
      <c r="B17" s="86">
        <v>625563</v>
      </c>
      <c r="C17" s="86">
        <v>104746</v>
      </c>
      <c r="D17" s="86">
        <v>151250</v>
      </c>
      <c r="E17" s="86">
        <v>121804</v>
      </c>
      <c r="F17" s="86">
        <v>104804</v>
      </c>
      <c r="G17" s="86">
        <v>163160</v>
      </c>
      <c r="H17" s="86">
        <v>255989</v>
      </c>
      <c r="I17" s="86">
        <v>437714</v>
      </c>
      <c r="J17" s="86">
        <v>1965029</v>
      </c>
      <c r="K17" s="103">
        <v>38437</v>
      </c>
    </row>
    <row r="18" spans="1:11" s="84" customFormat="1" ht="16" x14ac:dyDescent="0.2">
      <c r="A18" s="85" t="s">
        <v>174</v>
      </c>
      <c r="B18" s="86">
        <v>515619</v>
      </c>
      <c r="C18" s="86">
        <v>128623</v>
      </c>
      <c r="D18" s="86">
        <v>253609</v>
      </c>
      <c r="E18" s="86">
        <v>212811</v>
      </c>
      <c r="F18" s="86">
        <v>170864</v>
      </c>
      <c r="G18" s="86">
        <v>223467</v>
      </c>
      <c r="H18" s="86">
        <v>536680</v>
      </c>
      <c r="I18" s="86">
        <v>1123467</v>
      </c>
      <c r="J18" s="86">
        <v>3165140</v>
      </c>
      <c r="K18" s="103">
        <v>62206</v>
      </c>
    </row>
    <row r="19" spans="1:11" s="84" customFormat="1" ht="16" x14ac:dyDescent="0.2">
      <c r="A19" s="85" t="s">
        <v>175</v>
      </c>
      <c r="B19" s="86">
        <v>4254865</v>
      </c>
      <c r="C19" s="86">
        <v>688817</v>
      </c>
      <c r="D19" s="86">
        <v>1025906</v>
      </c>
      <c r="E19" s="86">
        <v>685086</v>
      </c>
      <c r="F19" s="86">
        <v>509579</v>
      </c>
      <c r="G19" s="86">
        <v>644921</v>
      </c>
      <c r="H19" s="86">
        <v>1187244</v>
      </c>
      <c r="I19" s="86">
        <v>1983937</v>
      </c>
      <c r="J19" s="86">
        <v>10980356</v>
      </c>
      <c r="K19" s="103">
        <v>32533</v>
      </c>
    </row>
    <row r="20" spans="1:11" s="84" customFormat="1" ht="16" x14ac:dyDescent="0.2">
      <c r="A20" s="85" t="s">
        <v>176</v>
      </c>
      <c r="B20" s="86">
        <v>819989</v>
      </c>
      <c r="C20" s="86">
        <v>167186</v>
      </c>
      <c r="D20" s="86">
        <v>218159</v>
      </c>
      <c r="E20" s="86">
        <v>101224</v>
      </c>
      <c r="F20" s="86">
        <v>50777</v>
      </c>
      <c r="G20" s="86">
        <v>41136</v>
      </c>
      <c r="H20" s="86">
        <v>57847</v>
      </c>
      <c r="I20" s="86">
        <v>44539</v>
      </c>
      <c r="J20" s="86">
        <v>1500857</v>
      </c>
      <c r="K20" s="103">
        <v>8288</v>
      </c>
    </row>
    <row r="21" spans="1:11" s="84" customFormat="1" ht="16" x14ac:dyDescent="0.2">
      <c r="A21" s="85" t="s">
        <v>177</v>
      </c>
      <c r="B21" s="86">
        <v>1862839</v>
      </c>
      <c r="C21" s="86">
        <v>265860</v>
      </c>
      <c r="D21" s="86">
        <v>404405</v>
      </c>
      <c r="E21" s="86">
        <v>224581</v>
      </c>
      <c r="F21" s="86">
        <v>140165</v>
      </c>
      <c r="G21" s="86">
        <v>127737</v>
      </c>
      <c r="H21" s="86">
        <v>196480</v>
      </c>
      <c r="I21" s="86">
        <v>149917</v>
      </c>
      <c r="J21" s="86">
        <v>3371984</v>
      </c>
      <c r="K21" s="103">
        <v>10556</v>
      </c>
    </row>
    <row r="22" spans="1:11" s="84" customFormat="1" ht="16" x14ac:dyDescent="0.2">
      <c r="A22" s="85" t="s">
        <v>178</v>
      </c>
      <c r="B22" s="86">
        <v>1867774</v>
      </c>
      <c r="C22" s="86">
        <v>221387</v>
      </c>
      <c r="D22" s="86">
        <v>271082</v>
      </c>
      <c r="E22" s="86">
        <v>179172</v>
      </c>
      <c r="F22" s="86">
        <v>124240</v>
      </c>
      <c r="G22" s="86">
        <v>150011</v>
      </c>
      <c r="H22" s="86">
        <v>229382</v>
      </c>
      <c r="I22" s="86">
        <v>248657</v>
      </c>
      <c r="J22" s="86">
        <v>3291705</v>
      </c>
      <c r="K22" s="103">
        <v>14254</v>
      </c>
    </row>
    <row r="23" spans="1:11" s="84" customFormat="1" ht="16" x14ac:dyDescent="0.2">
      <c r="A23" s="85" t="s">
        <v>179</v>
      </c>
      <c r="B23" s="86">
        <v>1513565</v>
      </c>
      <c r="C23" s="86">
        <v>197985</v>
      </c>
      <c r="D23" s="86">
        <v>270832</v>
      </c>
      <c r="E23" s="86">
        <v>182835</v>
      </c>
      <c r="F23" s="86">
        <v>148116</v>
      </c>
      <c r="G23" s="86">
        <v>204982</v>
      </c>
      <c r="H23" s="86">
        <v>316274</v>
      </c>
      <c r="I23" s="86">
        <v>467106</v>
      </c>
      <c r="J23" s="86">
        <v>3301695</v>
      </c>
      <c r="K23" s="103">
        <v>25316</v>
      </c>
    </row>
    <row r="24" spans="1:11" s="84" customFormat="1" ht="16" x14ac:dyDescent="0.2">
      <c r="A24" s="85" t="s">
        <v>180</v>
      </c>
      <c r="B24" s="86">
        <v>1199280</v>
      </c>
      <c r="C24" s="86">
        <v>185837</v>
      </c>
      <c r="D24" s="86">
        <v>274601</v>
      </c>
      <c r="E24" s="86">
        <v>221900</v>
      </c>
      <c r="F24" s="86">
        <v>195216</v>
      </c>
      <c r="G24" s="86">
        <v>306003</v>
      </c>
      <c r="H24" s="86">
        <v>486942</v>
      </c>
      <c r="I24" s="86">
        <v>879251</v>
      </c>
      <c r="J24" s="86">
        <v>3749031</v>
      </c>
      <c r="K24" s="103">
        <v>41311</v>
      </c>
    </row>
    <row r="25" spans="1:11" s="84" customFormat="1" ht="16" x14ac:dyDescent="0.2">
      <c r="A25" s="85" t="s">
        <v>181</v>
      </c>
      <c r="B25" s="86">
        <v>1001440</v>
      </c>
      <c r="C25" s="86">
        <v>239382</v>
      </c>
      <c r="D25" s="86">
        <v>454104</v>
      </c>
      <c r="E25" s="86">
        <v>380760</v>
      </c>
      <c r="F25" s="86">
        <v>330242</v>
      </c>
      <c r="G25" s="86">
        <v>450742</v>
      </c>
      <c r="H25" s="86">
        <v>1017601</v>
      </c>
      <c r="I25" s="86">
        <v>2209207</v>
      </c>
      <c r="J25" s="86">
        <v>6083478</v>
      </c>
      <c r="K25" s="103">
        <v>64386</v>
      </c>
    </row>
    <row r="26" spans="1:11" s="84" customFormat="1" ht="16" x14ac:dyDescent="0.2">
      <c r="A26" s="85" t="s">
        <v>66</v>
      </c>
      <c r="B26" s="86">
        <v>8264889</v>
      </c>
      <c r="C26" s="86">
        <v>1277637</v>
      </c>
      <c r="D26" s="86">
        <v>1893182</v>
      </c>
      <c r="E26" s="86">
        <v>1290473</v>
      </c>
      <c r="F26" s="86">
        <v>988756</v>
      </c>
      <c r="G26" s="86">
        <v>1280611</v>
      </c>
      <c r="H26" s="86">
        <v>2304525</v>
      </c>
      <c r="I26" s="86">
        <v>3998677</v>
      </c>
      <c r="J26" s="86">
        <v>21298750</v>
      </c>
      <c r="K26" s="103">
        <v>34044</v>
      </c>
    </row>
    <row r="27" spans="1:11" s="84" customFormat="1" ht="16" x14ac:dyDescent="0.2">
      <c r="A27" s="20" t="s">
        <v>16</v>
      </c>
      <c r="I27" s="111"/>
    </row>
    <row r="28" spans="1:11" s="84" customFormat="1" ht="16" x14ac:dyDescent="0.2">
      <c r="A28" s="107"/>
    </row>
    <row r="29" spans="1:11" s="84" customFormat="1" ht="16" x14ac:dyDescent="0.2">
      <c r="A29" s="107"/>
    </row>
    <row r="49" ht="11.5" customHeight="1" x14ac:dyDescent="0.15"/>
  </sheetData>
  <pageMargins left="0.70000000000000007" right="0.70000000000000007" top="0.75" bottom="0.75" header="0.30000000000000004" footer="0.30000000000000004"/>
  <pageSetup paperSize="0" fitToWidth="0" fitToHeight="0" orientation="portrait" horizontalDpi="0" verticalDpi="0" copies="0"/>
  <headerFooter>
    <oddFooter>&amp;C&amp;1#&amp;"Calibri,Regular"&amp;10OFFICIAL</oddFooter>
  </headerFooter>
  <tableParts count="1">
    <tablePart r:id="rId1"/>
  </tableParts>
</worksheet>
</file>

<file path=xl/worksheets/sheet1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24"/>
  <sheetViews>
    <sheetView workbookViewId="0"/>
  </sheetViews>
  <sheetFormatPr baseColWidth="10" defaultColWidth="22.6640625" defaultRowHeight="13" x14ac:dyDescent="0.15"/>
  <cols>
    <col min="1" max="1" width="16.6640625" customWidth="1"/>
    <col min="2" max="2" width="44.83203125" customWidth="1"/>
    <col min="3" max="13" width="21.33203125" customWidth="1"/>
    <col min="14" max="14" width="22.6640625" customWidth="1"/>
  </cols>
  <sheetData>
    <row r="1" spans="1:13" s="113" customFormat="1" ht="23" x14ac:dyDescent="0.25">
      <c r="A1" s="112" t="s">
        <v>231</v>
      </c>
    </row>
    <row r="2" spans="1:13" ht="16" x14ac:dyDescent="0.2">
      <c r="A2" s="84" t="s">
        <v>232</v>
      </c>
      <c r="B2" s="98"/>
    </row>
    <row r="3" spans="1:13" ht="16" x14ac:dyDescent="0.2">
      <c r="A3" s="20" t="s">
        <v>127</v>
      </c>
      <c r="B3" s="98"/>
    </row>
    <row r="4" spans="1:13" ht="16" x14ac:dyDescent="0.2">
      <c r="A4" s="20" t="s">
        <v>128</v>
      </c>
      <c r="B4" s="98"/>
    </row>
    <row r="5" spans="1:13" ht="16" x14ac:dyDescent="0.2">
      <c r="A5" s="20" t="s">
        <v>233</v>
      </c>
      <c r="B5" s="98"/>
    </row>
    <row r="6" spans="1:13" ht="16" x14ac:dyDescent="0.2">
      <c r="A6" s="20" t="s">
        <v>234</v>
      </c>
      <c r="B6" s="98"/>
    </row>
    <row r="7" spans="1:13" s="115" customFormat="1" ht="34" x14ac:dyDescent="0.15">
      <c r="A7" s="114" t="s">
        <v>184</v>
      </c>
      <c r="B7" s="114" t="s">
        <v>230</v>
      </c>
      <c r="C7" s="82" t="s">
        <v>131</v>
      </c>
      <c r="D7" s="82" t="s">
        <v>132</v>
      </c>
      <c r="E7" s="82" t="s">
        <v>217</v>
      </c>
      <c r="F7" s="82" t="s">
        <v>218</v>
      </c>
      <c r="G7" s="82" t="s">
        <v>219</v>
      </c>
      <c r="H7" s="82" t="s">
        <v>220</v>
      </c>
      <c r="I7" s="82" t="s">
        <v>221</v>
      </c>
      <c r="J7" s="82" t="s">
        <v>222</v>
      </c>
      <c r="K7" s="82" t="s">
        <v>223</v>
      </c>
      <c r="L7" s="82" t="s">
        <v>235</v>
      </c>
      <c r="M7" s="82" t="s">
        <v>224</v>
      </c>
    </row>
    <row r="8" spans="1:13" s="118" customFormat="1" ht="17" x14ac:dyDescent="0.2">
      <c r="A8" s="101" t="s">
        <v>185</v>
      </c>
      <c r="B8" s="116" t="s">
        <v>186</v>
      </c>
      <c r="C8" s="117"/>
      <c r="D8" s="117"/>
      <c r="E8" s="117"/>
      <c r="F8" s="117"/>
      <c r="G8" s="117"/>
      <c r="H8" s="117"/>
      <c r="I8" s="117"/>
      <c r="J8" s="117"/>
      <c r="K8" s="117"/>
      <c r="L8" s="117"/>
      <c r="M8" s="117"/>
    </row>
    <row r="9" spans="1:13" s="84" customFormat="1" ht="17" x14ac:dyDescent="0.2">
      <c r="A9" s="119" t="s">
        <v>187</v>
      </c>
      <c r="B9" s="116" t="s">
        <v>188</v>
      </c>
      <c r="C9" s="86">
        <v>321676</v>
      </c>
      <c r="D9" s="86">
        <v>50191</v>
      </c>
      <c r="E9" s="86">
        <v>74047</v>
      </c>
      <c r="F9" s="86">
        <v>51440</v>
      </c>
      <c r="G9" s="86">
        <v>37965</v>
      </c>
      <c r="H9" s="86">
        <v>45681</v>
      </c>
      <c r="I9" s="86">
        <v>84822</v>
      </c>
      <c r="J9" s="86">
        <v>129245</v>
      </c>
      <c r="K9" s="86">
        <v>795067</v>
      </c>
      <c r="L9" s="120">
        <v>0.36499999999999999</v>
      </c>
      <c r="M9" s="103">
        <v>28090</v>
      </c>
    </row>
    <row r="10" spans="1:13" s="84" customFormat="1" ht="17" x14ac:dyDescent="0.2">
      <c r="A10" s="119" t="s">
        <v>189</v>
      </c>
      <c r="B10" s="116" t="s">
        <v>190</v>
      </c>
      <c r="C10" s="86">
        <v>925062</v>
      </c>
      <c r="D10" s="86">
        <v>137910</v>
      </c>
      <c r="E10" s="86">
        <v>202161</v>
      </c>
      <c r="F10" s="86">
        <v>128331</v>
      </c>
      <c r="G10" s="86">
        <v>97000</v>
      </c>
      <c r="H10" s="86">
        <v>129697</v>
      </c>
      <c r="I10" s="86">
        <v>224139</v>
      </c>
      <c r="J10" s="86">
        <v>364810</v>
      </c>
      <c r="K10" s="86">
        <v>2209110</v>
      </c>
      <c r="L10" s="120">
        <v>0.36799999999999999</v>
      </c>
      <c r="M10" s="103">
        <v>29608</v>
      </c>
    </row>
    <row r="11" spans="1:13" s="84" customFormat="1" ht="17" x14ac:dyDescent="0.2">
      <c r="A11" s="119" t="s">
        <v>191</v>
      </c>
      <c r="B11" s="116" t="s">
        <v>192</v>
      </c>
      <c r="C11" s="86">
        <v>658743</v>
      </c>
      <c r="D11" s="86">
        <v>100414</v>
      </c>
      <c r="E11" s="86">
        <v>154266</v>
      </c>
      <c r="F11" s="86">
        <v>106586</v>
      </c>
      <c r="G11" s="86">
        <v>72044</v>
      </c>
      <c r="H11" s="86">
        <v>100977</v>
      </c>
      <c r="I11" s="86">
        <v>180113</v>
      </c>
      <c r="J11" s="86">
        <v>301496</v>
      </c>
      <c r="K11" s="86">
        <v>1674638</v>
      </c>
      <c r="L11" s="120">
        <v>0.378</v>
      </c>
      <c r="M11" s="103">
        <v>31278</v>
      </c>
    </row>
    <row r="12" spans="1:13" s="84" customFormat="1" ht="17" x14ac:dyDescent="0.2">
      <c r="A12" s="119" t="s">
        <v>193</v>
      </c>
      <c r="B12" s="116" t="s">
        <v>194</v>
      </c>
      <c r="C12" s="86">
        <v>637621</v>
      </c>
      <c r="D12" s="86">
        <v>91379</v>
      </c>
      <c r="E12" s="86">
        <v>141888</v>
      </c>
      <c r="F12" s="86">
        <v>101127</v>
      </c>
      <c r="G12" s="86">
        <v>76733</v>
      </c>
      <c r="H12" s="86">
        <v>95974</v>
      </c>
      <c r="I12" s="86">
        <v>166348</v>
      </c>
      <c r="J12" s="86">
        <v>267344</v>
      </c>
      <c r="K12" s="86">
        <v>1578413</v>
      </c>
      <c r="L12" s="120">
        <v>0.39700000000000002</v>
      </c>
      <c r="M12" s="103">
        <v>30531</v>
      </c>
    </row>
    <row r="13" spans="1:13" s="84" customFormat="1" ht="17" x14ac:dyDescent="0.2">
      <c r="A13" s="119" t="s">
        <v>195</v>
      </c>
      <c r="B13" s="116" t="s">
        <v>196</v>
      </c>
      <c r="C13" s="86">
        <v>721076</v>
      </c>
      <c r="D13" s="86">
        <v>116862</v>
      </c>
      <c r="E13" s="86">
        <v>163350</v>
      </c>
      <c r="F13" s="86">
        <v>116162</v>
      </c>
      <c r="G13" s="86">
        <v>80793</v>
      </c>
      <c r="H13" s="86">
        <v>109035</v>
      </c>
      <c r="I13" s="86">
        <v>192402</v>
      </c>
      <c r="J13" s="86">
        <v>301034</v>
      </c>
      <c r="K13" s="86">
        <v>1800714</v>
      </c>
      <c r="L13" s="120">
        <v>0.378</v>
      </c>
      <c r="M13" s="103">
        <v>29589</v>
      </c>
    </row>
    <row r="14" spans="1:13" s="84" customFormat="1" ht="17" x14ac:dyDescent="0.2">
      <c r="A14" s="119" t="s">
        <v>197</v>
      </c>
      <c r="B14" s="116" t="s">
        <v>198</v>
      </c>
      <c r="C14" s="86">
        <v>819655</v>
      </c>
      <c r="D14" s="86">
        <v>128561</v>
      </c>
      <c r="E14" s="86">
        <v>188658</v>
      </c>
      <c r="F14" s="86">
        <v>125294</v>
      </c>
      <c r="G14" s="86">
        <v>99090</v>
      </c>
      <c r="H14" s="86">
        <v>132281</v>
      </c>
      <c r="I14" s="86">
        <v>237197</v>
      </c>
      <c r="J14" s="86">
        <v>432418</v>
      </c>
      <c r="K14" s="86">
        <v>2163154</v>
      </c>
      <c r="L14" s="120">
        <v>0.42399999999999999</v>
      </c>
      <c r="M14" s="103">
        <v>35595</v>
      </c>
    </row>
    <row r="15" spans="1:13" s="84" customFormat="1" ht="17" x14ac:dyDescent="0.2">
      <c r="A15" s="119" t="s">
        <v>199</v>
      </c>
      <c r="B15" s="116" t="s">
        <v>200</v>
      </c>
      <c r="C15" s="86">
        <v>960636</v>
      </c>
      <c r="D15" s="86">
        <v>153809</v>
      </c>
      <c r="E15" s="86">
        <v>233553</v>
      </c>
      <c r="F15" s="86">
        <v>150083</v>
      </c>
      <c r="G15" s="86">
        <v>125156</v>
      </c>
      <c r="H15" s="86">
        <v>157576</v>
      </c>
      <c r="I15" s="86">
        <v>281148</v>
      </c>
      <c r="J15" s="86">
        <v>525042</v>
      </c>
      <c r="K15" s="86">
        <v>2587003</v>
      </c>
      <c r="L15" s="120">
        <v>0.36699999999999999</v>
      </c>
      <c r="M15" s="103">
        <v>38519</v>
      </c>
    </row>
    <row r="16" spans="1:13" s="84" customFormat="1" ht="17" x14ac:dyDescent="0.2">
      <c r="A16" s="119" t="s">
        <v>201</v>
      </c>
      <c r="B16" s="116" t="s">
        <v>202</v>
      </c>
      <c r="C16" s="86">
        <v>1194363</v>
      </c>
      <c r="D16" s="86">
        <v>183455</v>
      </c>
      <c r="E16" s="86">
        <v>260895</v>
      </c>
      <c r="F16" s="86">
        <v>188642</v>
      </c>
      <c r="G16" s="86">
        <v>147690</v>
      </c>
      <c r="H16" s="86">
        <v>198854</v>
      </c>
      <c r="I16" s="86">
        <v>368279</v>
      </c>
      <c r="J16" s="86">
        <v>710431</v>
      </c>
      <c r="K16" s="86">
        <v>3252609</v>
      </c>
      <c r="L16" s="120">
        <v>0.434</v>
      </c>
      <c r="M16" s="103">
        <v>40846</v>
      </c>
    </row>
    <row r="17" spans="1:13" s="84" customFormat="1" ht="17" x14ac:dyDescent="0.2">
      <c r="A17" s="119" t="s">
        <v>203</v>
      </c>
      <c r="B17" s="116" t="s">
        <v>204</v>
      </c>
      <c r="C17" s="86">
        <v>786913</v>
      </c>
      <c r="D17" s="86">
        <v>117569</v>
      </c>
      <c r="E17" s="86">
        <v>176714</v>
      </c>
      <c r="F17" s="86">
        <v>123354</v>
      </c>
      <c r="G17" s="86">
        <v>97609</v>
      </c>
      <c r="H17" s="86">
        <v>121824</v>
      </c>
      <c r="I17" s="86">
        <v>226106</v>
      </c>
      <c r="J17" s="86">
        <v>409193</v>
      </c>
      <c r="K17" s="86">
        <v>2059282</v>
      </c>
      <c r="L17" s="120">
        <v>0.437</v>
      </c>
      <c r="M17" s="103">
        <v>36735</v>
      </c>
    </row>
    <row r="18" spans="1:13" s="84" customFormat="1" ht="17" x14ac:dyDescent="0.2">
      <c r="A18" s="101" t="s">
        <v>185</v>
      </c>
      <c r="B18" s="116" t="s">
        <v>66</v>
      </c>
      <c r="C18" s="86">
        <v>7025746</v>
      </c>
      <c r="D18" s="86">
        <v>1080150</v>
      </c>
      <c r="E18" s="86">
        <v>1595531</v>
      </c>
      <c r="F18" s="86">
        <v>1091019</v>
      </c>
      <c r="G18" s="86">
        <v>834079</v>
      </c>
      <c r="H18" s="86">
        <v>1091900</v>
      </c>
      <c r="I18" s="86">
        <v>1960554</v>
      </c>
      <c r="J18" s="86">
        <v>3441012</v>
      </c>
      <c r="K18" s="86">
        <v>18119992</v>
      </c>
      <c r="L18" s="120">
        <v>0.39400000000000002</v>
      </c>
      <c r="M18" s="103">
        <v>34588</v>
      </c>
    </row>
    <row r="19" spans="1:13" s="84" customFormat="1" ht="17" x14ac:dyDescent="0.2">
      <c r="A19" s="119" t="s">
        <v>205</v>
      </c>
      <c r="B19" s="116" t="s">
        <v>206</v>
      </c>
      <c r="C19" s="86">
        <v>402831</v>
      </c>
      <c r="D19" s="86">
        <v>61337</v>
      </c>
      <c r="E19" s="86">
        <v>98013</v>
      </c>
      <c r="F19" s="86">
        <v>61257</v>
      </c>
      <c r="G19" s="86">
        <v>44560</v>
      </c>
      <c r="H19" s="86">
        <v>59131</v>
      </c>
      <c r="I19" s="86">
        <v>108148</v>
      </c>
      <c r="J19" s="86">
        <v>171443</v>
      </c>
      <c r="K19" s="86">
        <v>1006720</v>
      </c>
      <c r="L19" s="120">
        <v>0.39600000000000002</v>
      </c>
      <c r="M19" s="103">
        <v>29700</v>
      </c>
    </row>
    <row r="20" spans="1:13" s="84" customFormat="1" ht="17" x14ac:dyDescent="0.2">
      <c r="A20" s="119" t="s">
        <v>207</v>
      </c>
      <c r="B20" s="116" t="s">
        <v>208</v>
      </c>
      <c r="C20" s="86">
        <v>597579</v>
      </c>
      <c r="D20" s="86">
        <v>100677</v>
      </c>
      <c r="E20" s="86">
        <v>142644</v>
      </c>
      <c r="F20" s="86">
        <v>100131</v>
      </c>
      <c r="G20" s="86">
        <v>81309</v>
      </c>
      <c r="H20" s="86">
        <v>96702</v>
      </c>
      <c r="I20" s="86">
        <v>171490</v>
      </c>
      <c r="J20" s="86">
        <v>293333</v>
      </c>
      <c r="K20" s="86">
        <v>1583863</v>
      </c>
      <c r="L20" s="120">
        <v>0.35399999999999998</v>
      </c>
      <c r="M20" s="103">
        <v>33253</v>
      </c>
    </row>
    <row r="21" spans="1:13" s="84" customFormat="1" ht="17" x14ac:dyDescent="0.2">
      <c r="A21" s="119" t="s">
        <v>209</v>
      </c>
      <c r="B21" s="116" t="s">
        <v>210</v>
      </c>
      <c r="C21" s="86">
        <v>177819</v>
      </c>
      <c r="D21" s="86">
        <v>28746</v>
      </c>
      <c r="E21" s="86">
        <v>43273</v>
      </c>
      <c r="F21" s="86">
        <v>28014</v>
      </c>
      <c r="G21" s="86">
        <v>20399</v>
      </c>
      <c r="H21" s="86">
        <v>24420</v>
      </c>
      <c r="I21" s="86">
        <v>47329</v>
      </c>
      <c r="J21" s="86">
        <v>67014</v>
      </c>
      <c r="K21" s="86">
        <v>437015</v>
      </c>
      <c r="L21" s="120">
        <v>0.29399999999999998</v>
      </c>
      <c r="M21" s="103">
        <v>26439</v>
      </c>
    </row>
    <row r="22" spans="1:13" s="84" customFormat="1" ht="17" x14ac:dyDescent="0.2">
      <c r="A22" s="101" t="s">
        <v>185</v>
      </c>
      <c r="B22" s="116" t="s">
        <v>211</v>
      </c>
      <c r="C22" s="86">
        <v>60914</v>
      </c>
      <c r="D22" s="86">
        <v>6727</v>
      </c>
      <c r="E22" s="86">
        <v>13722</v>
      </c>
      <c r="F22" s="86">
        <v>10052</v>
      </c>
      <c r="G22" s="86">
        <v>8409</v>
      </c>
      <c r="H22" s="86">
        <v>8458</v>
      </c>
      <c r="I22" s="86">
        <v>17004</v>
      </c>
      <c r="J22" s="86">
        <v>25874</v>
      </c>
      <c r="K22" s="86">
        <v>151160</v>
      </c>
      <c r="L22" s="120" t="s">
        <v>236</v>
      </c>
      <c r="M22" s="103">
        <v>28059</v>
      </c>
    </row>
    <row r="23" spans="1:13" s="84" customFormat="1" ht="17" x14ac:dyDescent="0.2">
      <c r="A23" s="119" t="s">
        <v>212</v>
      </c>
      <c r="B23" s="116" t="s">
        <v>213</v>
      </c>
      <c r="C23" s="86">
        <v>8264889</v>
      </c>
      <c r="D23" s="86">
        <v>1277637</v>
      </c>
      <c r="E23" s="86">
        <v>1893182</v>
      </c>
      <c r="F23" s="86">
        <v>1290473</v>
      </c>
      <c r="G23" s="86">
        <v>988756</v>
      </c>
      <c r="H23" s="86">
        <v>1280611</v>
      </c>
      <c r="I23" s="86">
        <v>2304525</v>
      </c>
      <c r="J23" s="86">
        <v>3998677</v>
      </c>
      <c r="K23" s="86">
        <v>21298750</v>
      </c>
      <c r="L23" s="120">
        <v>0.39100000000000001</v>
      </c>
      <c r="M23" s="103">
        <v>34044</v>
      </c>
    </row>
    <row r="24" spans="1:13" ht="16" x14ac:dyDescent="0.2">
      <c r="A24" s="20" t="s">
        <v>16</v>
      </c>
    </row>
  </sheetData>
  <pageMargins left="0.70000000000000007" right="0.70000000000000007" top="0.75" bottom="0.75" header="0.30000000000000004" footer="0.30000000000000004"/>
  <pageSetup paperSize="0" fitToWidth="0" fitToHeight="0" orientation="portrait" horizontalDpi="0" verticalDpi="0" copies="0"/>
  <headerFooter>
    <oddFooter>&amp;C&amp;1#&amp;"Calibri,Regular"&amp;10OFFICIAL</oddFooter>
  </headerFooter>
  <tableParts count="1">
    <tablePart r:id="rId1"/>
  </tableParts>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Cover_Sheet</vt:lpstr>
      <vt:lpstr>Contents</vt:lpstr>
      <vt:lpstr>9_4_ISA_subscriptions</vt:lpstr>
      <vt:lpstr>9_6_ISA_market_values</vt:lpstr>
      <vt:lpstr>9_7_ISA_subs_by_income</vt:lpstr>
      <vt:lpstr>9_8_ISA_subs_by_age_sex</vt:lpstr>
      <vt:lpstr>9_9_ISA_subs_by_country_region</vt:lpstr>
      <vt:lpstr>9_10_ISA_market_values_income</vt:lpstr>
      <vt:lpstr>9_11ISA_market_value_by_age_sex</vt:lpstr>
      <vt:lpstr>9_12ISA_market_values_by_region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Badaru, Blessing (CS&amp;TD KAI Personal Taxes)</dc:creator>
  <cp:lastModifiedBy>Microsoft Office User</cp:lastModifiedBy>
  <cp:lastPrinted>2020-06-24T01:52:57Z</cp:lastPrinted>
  <dcterms:created xsi:type="dcterms:W3CDTF">2019-04-16T12:34:13Z</dcterms:created>
  <dcterms:modified xsi:type="dcterms:W3CDTF">2025-12-01T22:35:56Z</dcterms:modified>
</cp:coreProperties>
</file>

<file path=docProps/custom.xml><?xml version="1.0" encoding="utf-8"?>
<Properties xmlns="http://purl.oclc.org/ooxml/officeDocument/customProperties" xmlns:vt="http://purl.oclc.org/ooxml/officeDocument/docPropsVTypes">
  <property fmtid="{D5CDD505-2E9C-101B-9397-08002B2CF9AE}" pid="2" name="MSIP_Label_f9af038e-07b4-4369-a678-c835687cb272_Enabled">
    <vt:lpwstr>true</vt:lpwstr>
  </property>
  <property fmtid="{D5CDD505-2E9C-101B-9397-08002B2CF9AE}" pid="3" name="MSIP_Label_f9af038e-07b4-4369-a678-c835687cb272_SetDate">
    <vt:lpwstr>2021-04-12T12:43:05Z</vt:lpwstr>
  </property>
  <property fmtid="{D5CDD505-2E9C-101B-9397-08002B2CF9AE}" pid="4" name="MSIP_Label_f9af038e-07b4-4369-a678-c835687cb272_Method">
    <vt:lpwstr>Standard</vt:lpwstr>
  </property>
  <property fmtid="{D5CDD505-2E9C-101B-9397-08002B2CF9AE}" pid="5" name="MSIP_Label_f9af038e-07b4-4369-a678-c835687cb272_Name">
    <vt:lpwstr>OFFICIAL</vt:lpwstr>
  </property>
  <property fmtid="{D5CDD505-2E9C-101B-9397-08002B2CF9AE}" pid="6" name="MSIP_Label_f9af038e-07b4-4369-a678-c835687cb272_SiteId">
    <vt:lpwstr>ac52f73c-fd1a-4a9a-8e7a-4a248f3139e1</vt:lpwstr>
  </property>
  <property fmtid="{D5CDD505-2E9C-101B-9397-08002B2CF9AE}" pid="7" name="MSIP_Label_f9af038e-07b4-4369-a678-c835687cb272_ActionId">
    <vt:lpwstr>9dba74d6-bee1-4efc-9702-743cb2093301</vt:lpwstr>
  </property>
  <property fmtid="{D5CDD505-2E9C-101B-9397-08002B2CF9AE}" pid="8" name="MSIP_Label_f9af038e-07b4-4369-a678-c835687cb272_ContentBits">
    <vt:lpwstr>2</vt:lpwstr>
  </property>
</Properties>
</file>